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c++\tenacitas\code\crosswords\document\"/>
    </mc:Choice>
  </mc:AlternateContent>
  <bookViews>
    <workbookView xWindow="0" yWindow="0" windowWidth="16380" windowHeight="8190" tabRatio="500" activeTab="6"/>
  </bookViews>
  <sheets>
    <sheet name="Plan1" sheetId="1" r:id="rId1"/>
    <sheet name="Planilha2" sheetId="2" r:id="rId2"/>
    <sheet name="Planilha3" sheetId="3" r:id="rId3"/>
    <sheet name="Planilha4" sheetId="4" r:id="rId4"/>
    <sheet name="Planilha5" sheetId="5" r:id="rId5"/>
    <sheet name="Planilha6" sheetId="6" r:id="rId6"/>
    <sheet name="Planilha7" sheetId="7" r:id="rId7"/>
  </sheet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K32" i="5" l="1"/>
  <c r="S32" i="5"/>
  <c r="A32" i="5"/>
  <c r="AK31" i="5"/>
  <c r="S31" i="5"/>
  <c r="A31" i="5"/>
  <c r="AK30" i="5"/>
  <c r="S30" i="5"/>
  <c r="A30" i="5"/>
  <c r="AK29" i="5"/>
  <c r="S29" i="5"/>
  <c r="A29" i="5"/>
  <c r="AK28" i="5"/>
  <c r="S28" i="5"/>
  <c r="A28" i="5"/>
  <c r="AK27" i="5"/>
  <c r="S27" i="5"/>
  <c r="A27" i="5"/>
  <c r="AK26" i="5"/>
  <c r="S26" i="5"/>
  <c r="A26" i="5"/>
  <c r="AK25" i="5"/>
  <c r="S25" i="5"/>
  <c r="A25" i="5"/>
  <c r="AK24" i="5"/>
  <c r="S24" i="5"/>
  <c r="A24" i="5"/>
  <c r="AK23" i="5"/>
  <c r="S23" i="5"/>
  <c r="A23" i="5"/>
  <c r="AK22" i="5"/>
  <c r="S22" i="5"/>
  <c r="A22" i="5"/>
  <c r="AK21" i="5"/>
  <c r="S21" i="5"/>
  <c r="A21" i="5"/>
  <c r="AK20" i="5"/>
  <c r="S20" i="5"/>
  <c r="A20" i="5"/>
  <c r="AK19" i="5"/>
  <c r="S19" i="5"/>
  <c r="A19" i="5"/>
  <c r="AK16" i="5"/>
  <c r="S16" i="5"/>
  <c r="A16" i="5"/>
  <c r="AK15" i="5"/>
  <c r="S15" i="5"/>
  <c r="A15" i="5"/>
  <c r="AK14" i="5"/>
  <c r="S14" i="5"/>
  <c r="A14" i="5"/>
  <c r="AK13" i="5"/>
  <c r="S13" i="5"/>
  <c r="A13" i="5"/>
  <c r="AK12" i="5"/>
  <c r="S12" i="5"/>
  <c r="A12" i="5"/>
  <c r="AK11" i="5"/>
  <c r="S11" i="5"/>
  <c r="A11" i="5"/>
  <c r="AK10" i="5"/>
  <c r="S10" i="5"/>
  <c r="A10" i="5"/>
  <c r="AK9" i="5"/>
  <c r="S9" i="5"/>
  <c r="A9" i="5"/>
  <c r="AK8" i="5"/>
  <c r="S8" i="5"/>
  <c r="A8" i="5"/>
  <c r="AK7" i="5"/>
  <c r="S7" i="5"/>
  <c r="A7" i="5"/>
  <c r="AK6" i="5"/>
  <c r="S6" i="5"/>
  <c r="A6" i="5"/>
  <c r="AK5" i="5"/>
  <c r="S5" i="5"/>
  <c r="A5" i="5"/>
  <c r="AK4" i="5"/>
  <c r="S4" i="5"/>
  <c r="A4" i="5"/>
  <c r="AK3" i="5"/>
  <c r="S3" i="5"/>
  <c r="A3" i="5"/>
  <c r="BA128" i="4"/>
  <c r="AO128" i="4"/>
  <c r="AK128" i="4"/>
  <c r="AE128" i="4"/>
  <c r="Y128" i="4"/>
  <c r="U128" i="4"/>
  <c r="O128" i="4"/>
  <c r="I128" i="4"/>
  <c r="E128" i="4"/>
  <c r="B128" i="4"/>
  <c r="AW127" i="4"/>
  <c r="AG127" i="4"/>
  <c r="Q127" i="4"/>
  <c r="G127" i="4"/>
  <c r="B127" i="4"/>
  <c r="BA126" i="4"/>
  <c r="AU126" i="4"/>
  <c r="AO126" i="4"/>
  <c r="AK126" i="4"/>
  <c r="AE126" i="4"/>
  <c r="Y126" i="4"/>
  <c r="U126" i="4"/>
  <c r="O126" i="4"/>
  <c r="I126" i="4"/>
  <c r="E126" i="4"/>
  <c r="B126" i="4"/>
  <c r="AW125" i="4"/>
  <c r="AM125" i="4"/>
  <c r="AG125" i="4"/>
  <c r="Q125" i="4"/>
  <c r="G125" i="4"/>
  <c r="B125" i="4"/>
  <c r="BA124" i="4"/>
  <c r="AU124" i="4"/>
  <c r="AO124" i="4"/>
  <c r="AK124" i="4"/>
  <c r="AE124" i="4"/>
  <c r="Y124" i="4"/>
  <c r="U124" i="4"/>
  <c r="O124" i="4"/>
  <c r="I124" i="4"/>
  <c r="E124" i="4"/>
  <c r="B124" i="4"/>
  <c r="AW123" i="4"/>
  <c r="AM123" i="4"/>
  <c r="AG123" i="4"/>
  <c r="AC123" i="4"/>
  <c r="Q123" i="4"/>
  <c r="B123" i="4"/>
  <c r="BA122" i="4"/>
  <c r="AU122" i="4"/>
  <c r="AO122" i="4"/>
  <c r="AK122" i="4"/>
  <c r="AE122" i="4"/>
  <c r="Y122" i="4"/>
  <c r="U122" i="4"/>
  <c r="O122" i="4"/>
  <c r="I122" i="4"/>
  <c r="E122" i="4"/>
  <c r="B122" i="4"/>
  <c r="AW121" i="4"/>
  <c r="AG121" i="4"/>
  <c r="Q121" i="4"/>
  <c r="B121" i="4"/>
  <c r="BA120" i="4"/>
  <c r="AU120" i="4"/>
  <c r="AO120" i="4"/>
  <c r="AK120" i="4"/>
  <c r="AE120" i="4"/>
  <c r="Y120" i="4"/>
  <c r="U120" i="4"/>
  <c r="O120" i="4"/>
  <c r="I120" i="4"/>
  <c r="E120" i="4"/>
  <c r="B120" i="4"/>
  <c r="BA119" i="4"/>
  <c r="AU119" i="4"/>
  <c r="AQ119" i="4"/>
  <c r="AK119" i="4"/>
  <c r="AE119" i="4"/>
  <c r="AA119" i="4"/>
  <c r="U119" i="4"/>
  <c r="O119" i="4"/>
  <c r="K119" i="4"/>
  <c r="E119" i="4"/>
  <c r="B119" i="4"/>
  <c r="BA118" i="4"/>
  <c r="AW118" i="4"/>
  <c r="AQ118" i="4"/>
  <c r="AK118" i="4"/>
  <c r="AG118" i="4"/>
  <c r="AA118" i="4"/>
  <c r="U118" i="4"/>
  <c r="Q118" i="4"/>
  <c r="K118" i="4"/>
  <c r="E118" i="4"/>
  <c r="B118" i="4"/>
  <c r="AW117" i="4"/>
  <c r="AQ117" i="4"/>
  <c r="AO117" i="4"/>
  <c r="AG117" i="4"/>
  <c r="AA117" i="4"/>
  <c r="Y117" i="4"/>
  <c r="Q117" i="4"/>
  <c r="K117" i="4"/>
  <c r="I117" i="4"/>
  <c r="B117" i="4"/>
  <c r="AW116" i="4"/>
  <c r="AU116" i="4"/>
  <c r="AG116" i="4"/>
  <c r="AE116" i="4"/>
  <c r="Q116" i="4"/>
  <c r="O116" i="4"/>
  <c r="B116" i="4"/>
  <c r="BB115" i="4"/>
  <c r="BC123" i="4" s="1"/>
  <c r="AZ115" i="4"/>
  <c r="BA127" i="4" s="1"/>
  <c r="AX115" i="4"/>
  <c r="AV115" i="4"/>
  <c r="AW119" i="4" s="1"/>
  <c r="AT115" i="4"/>
  <c r="AU128" i="4" s="1"/>
  <c r="AR115" i="4"/>
  <c r="AS125" i="4" s="1"/>
  <c r="AP115" i="4"/>
  <c r="AQ128" i="4" s="1"/>
  <c r="AN115" i="4"/>
  <c r="AO118" i="4" s="1"/>
  <c r="AL115" i="4"/>
  <c r="AM127" i="4" s="1"/>
  <c r="AJ115" i="4"/>
  <c r="AK127" i="4" s="1"/>
  <c r="AH115" i="4"/>
  <c r="AF115" i="4"/>
  <c r="AG119" i="4" s="1"/>
  <c r="AD115" i="4"/>
  <c r="AE117" i="4" s="1"/>
  <c r="AB115" i="4"/>
  <c r="Z115" i="4"/>
  <c r="AA128" i="4" s="1"/>
  <c r="X115" i="4"/>
  <c r="Y118" i="4" s="1"/>
  <c r="V115" i="4"/>
  <c r="W125" i="4" s="1"/>
  <c r="T115" i="4"/>
  <c r="U127" i="4" s="1"/>
  <c r="R115" i="4"/>
  <c r="P115" i="4"/>
  <c r="Q119" i="4" s="1"/>
  <c r="N115" i="4"/>
  <c r="O117" i="4" s="1"/>
  <c r="L115" i="4"/>
  <c r="M127" i="4" s="1"/>
  <c r="J115" i="4"/>
  <c r="K128" i="4" s="1"/>
  <c r="H115" i="4"/>
  <c r="I118" i="4" s="1"/>
  <c r="F115" i="4"/>
  <c r="G121" i="4" s="1"/>
  <c r="D115" i="4"/>
  <c r="E127" i="4" s="1"/>
  <c r="AA112" i="4"/>
  <c r="B112" i="4"/>
  <c r="AO111" i="4"/>
  <c r="B111" i="4"/>
  <c r="Q110" i="4"/>
  <c r="B110" i="4"/>
  <c r="B109" i="4"/>
  <c r="AW108" i="4"/>
  <c r="B108" i="4"/>
  <c r="S107" i="4"/>
  <c r="B107" i="4"/>
  <c r="B106" i="4"/>
  <c r="AY105" i="4"/>
  <c r="I105" i="4"/>
  <c r="B105" i="4"/>
  <c r="AA104" i="4"/>
  <c r="B104" i="4"/>
  <c r="B103" i="4"/>
  <c r="AY102" i="4"/>
  <c r="S102" i="4"/>
  <c r="B102" i="4"/>
  <c r="AO101" i="4"/>
  <c r="K101" i="4"/>
  <c r="B101" i="4"/>
  <c r="AW100" i="4"/>
  <c r="AG100" i="4"/>
  <c r="Q100" i="4"/>
  <c r="B100" i="4"/>
  <c r="BB99" i="4"/>
  <c r="AZ99" i="4"/>
  <c r="BA100" i="4" s="1"/>
  <c r="AX99" i="4"/>
  <c r="AY109" i="4" s="1"/>
  <c r="AV99" i="4"/>
  <c r="AW112" i="4" s="1"/>
  <c r="AT99" i="4"/>
  <c r="AU109" i="4" s="1"/>
  <c r="AR99" i="4"/>
  <c r="AS101" i="4" s="1"/>
  <c r="AP99" i="4"/>
  <c r="AQ106" i="4" s="1"/>
  <c r="AN99" i="4"/>
  <c r="AL99" i="4"/>
  <c r="AJ99" i="4"/>
  <c r="AK102" i="4" s="1"/>
  <c r="AH99" i="4"/>
  <c r="AI105" i="4" s="1"/>
  <c r="AF99" i="4"/>
  <c r="AG110" i="4" s="1"/>
  <c r="AD99" i="4"/>
  <c r="AB99" i="4"/>
  <c r="AC103" i="4" s="1"/>
  <c r="Z99" i="4"/>
  <c r="X99" i="4"/>
  <c r="V99" i="4"/>
  <c r="T99" i="4"/>
  <c r="U100" i="4" s="1"/>
  <c r="R99" i="4"/>
  <c r="S111" i="4" s="1"/>
  <c r="P99" i="4"/>
  <c r="Q106" i="4" s="1"/>
  <c r="N99" i="4"/>
  <c r="L99" i="4"/>
  <c r="M101" i="4" s="1"/>
  <c r="J99" i="4"/>
  <c r="K108" i="4" s="1"/>
  <c r="H99" i="4"/>
  <c r="F99" i="4"/>
  <c r="D99" i="4"/>
  <c r="E102" i="4" s="1"/>
  <c r="AI96" i="4"/>
  <c r="B96" i="4"/>
  <c r="B95" i="4"/>
  <c r="AY94" i="4"/>
  <c r="S94" i="4"/>
  <c r="B94" i="4"/>
  <c r="B93" i="4"/>
  <c r="AI92" i="4"/>
  <c r="S92" i="4"/>
  <c r="B92" i="4"/>
  <c r="K91" i="4"/>
  <c r="B91" i="4"/>
  <c r="AY90" i="4"/>
  <c r="AI90" i="4"/>
  <c r="B90" i="4"/>
  <c r="AA89" i="4"/>
  <c r="B89" i="4"/>
  <c r="AY88" i="4"/>
  <c r="B88" i="4"/>
  <c r="AW87" i="4"/>
  <c r="AO87" i="4"/>
  <c r="AG87" i="4"/>
  <c r="Y87" i="4"/>
  <c r="Q87" i="4"/>
  <c r="I87" i="4"/>
  <c r="B87" i="4"/>
  <c r="AW86" i="4"/>
  <c r="AO86" i="4"/>
  <c r="AG86" i="4"/>
  <c r="Y86" i="4"/>
  <c r="Q86" i="4"/>
  <c r="I86" i="4"/>
  <c r="B86" i="4"/>
  <c r="BC85" i="4"/>
  <c r="AU85" i="4"/>
  <c r="AM85" i="4"/>
  <c r="AE85" i="4"/>
  <c r="W85" i="4"/>
  <c r="O85" i="4"/>
  <c r="G85" i="4"/>
  <c r="B85" i="4"/>
  <c r="BA84" i="4"/>
  <c r="AS84" i="4"/>
  <c r="AK84" i="4"/>
  <c r="AC84" i="4"/>
  <c r="U84" i="4"/>
  <c r="M84" i="4"/>
  <c r="E84" i="4"/>
  <c r="B84" i="4"/>
  <c r="BB83" i="4"/>
  <c r="BC86" i="4" s="1"/>
  <c r="AZ83" i="4"/>
  <c r="BA86" i="4" s="1"/>
  <c r="AX83" i="4"/>
  <c r="AV83" i="4"/>
  <c r="AW95" i="4" s="1"/>
  <c r="AT83" i="4"/>
  <c r="AU87" i="4" s="1"/>
  <c r="AR83" i="4"/>
  <c r="AS85" i="4" s="1"/>
  <c r="AP83" i="4"/>
  <c r="AQ95" i="4" s="1"/>
  <c r="AN83" i="4"/>
  <c r="AO96" i="4" s="1"/>
  <c r="AL83" i="4"/>
  <c r="AM86" i="4" s="1"/>
  <c r="AJ83" i="4"/>
  <c r="AK86" i="4" s="1"/>
  <c r="AH83" i="4"/>
  <c r="AF83" i="4"/>
  <c r="AG95" i="4" s="1"/>
  <c r="AD83" i="4"/>
  <c r="AE87" i="4" s="1"/>
  <c r="AB83" i="4"/>
  <c r="AC85" i="4" s="1"/>
  <c r="Z83" i="4"/>
  <c r="AA95" i="4" s="1"/>
  <c r="X83" i="4"/>
  <c r="Y96" i="4" s="1"/>
  <c r="V83" i="4"/>
  <c r="W86" i="4" s="1"/>
  <c r="T83" i="4"/>
  <c r="U86" i="4" s="1"/>
  <c r="R83" i="4"/>
  <c r="P83" i="4"/>
  <c r="Q95" i="4" s="1"/>
  <c r="N83" i="4"/>
  <c r="O87" i="4" s="1"/>
  <c r="L83" i="4"/>
  <c r="M85" i="4" s="1"/>
  <c r="J83" i="4"/>
  <c r="K95" i="4" s="1"/>
  <c r="H83" i="4"/>
  <c r="I96" i="4" s="1"/>
  <c r="F83" i="4"/>
  <c r="G86" i="4" s="1"/>
  <c r="D83" i="4"/>
  <c r="E86" i="4" s="1"/>
  <c r="AU80" i="4"/>
  <c r="W80" i="4"/>
  <c r="B80" i="4"/>
  <c r="AU79" i="4"/>
  <c r="W79" i="4"/>
  <c r="B79" i="4"/>
  <c r="AU78" i="4"/>
  <c r="W78" i="4"/>
  <c r="B78" i="4"/>
  <c r="BC77" i="4"/>
  <c r="AQ77" i="4"/>
  <c r="AM77" i="4"/>
  <c r="K77" i="4"/>
  <c r="B77" i="4"/>
  <c r="BC76" i="4"/>
  <c r="AW76" i="4"/>
  <c r="AM76" i="4"/>
  <c r="AG76" i="4"/>
  <c r="W76" i="4"/>
  <c r="Q76" i="4"/>
  <c r="G76" i="4"/>
  <c r="B76" i="4"/>
  <c r="AU75" i="4"/>
  <c r="AQ75" i="4"/>
  <c r="AE75" i="4"/>
  <c r="AA75" i="4"/>
  <c r="K75" i="4"/>
  <c r="B75" i="4"/>
  <c r="BC74" i="4"/>
  <c r="AW74" i="4"/>
  <c r="AM74" i="4"/>
  <c r="AG74" i="4"/>
  <c r="W74" i="4"/>
  <c r="Q74" i="4"/>
  <c r="G74" i="4"/>
  <c r="B74" i="4"/>
  <c r="AU73" i="4"/>
  <c r="AQ73" i="4"/>
  <c r="AE73" i="4"/>
  <c r="AA73" i="4"/>
  <c r="O73" i="4"/>
  <c r="K73" i="4"/>
  <c r="B73" i="4"/>
  <c r="BC72" i="4"/>
  <c r="AW72" i="4"/>
  <c r="AS72" i="4"/>
  <c r="AM72" i="4"/>
  <c r="AG72" i="4"/>
  <c r="AC72" i="4"/>
  <c r="W72" i="4"/>
  <c r="Q72" i="4"/>
  <c r="M72" i="4"/>
  <c r="G72" i="4"/>
  <c r="B72" i="4"/>
  <c r="AU71" i="4"/>
  <c r="AQ71" i="4"/>
  <c r="AO71" i="4"/>
  <c r="AE71" i="4"/>
  <c r="AA71" i="4"/>
  <c r="O71" i="4"/>
  <c r="K71" i="4"/>
  <c r="B71" i="4"/>
  <c r="BC70" i="4"/>
  <c r="AW70" i="4"/>
  <c r="AS70" i="4"/>
  <c r="AM70" i="4"/>
  <c r="AG70" i="4"/>
  <c r="AC70" i="4"/>
  <c r="W70" i="4"/>
  <c r="Q70" i="4"/>
  <c r="M70" i="4"/>
  <c r="G70" i="4"/>
  <c r="B70" i="4"/>
  <c r="BC69" i="4"/>
  <c r="AS69" i="4"/>
  <c r="AO69" i="4"/>
  <c r="AM69" i="4"/>
  <c r="AC69" i="4"/>
  <c r="W69" i="4"/>
  <c r="M69" i="4"/>
  <c r="G69" i="4"/>
  <c r="B69" i="4"/>
  <c r="AU68" i="4"/>
  <c r="AS68" i="4"/>
  <c r="AI68" i="4"/>
  <c r="AE68" i="4"/>
  <c r="AC68" i="4"/>
  <c r="O68" i="4"/>
  <c r="M68" i="4"/>
  <c r="B68" i="4"/>
  <c r="BB67" i="4"/>
  <c r="BC75" i="4" s="1"/>
  <c r="AZ67" i="4"/>
  <c r="AX67" i="4"/>
  <c r="AY70" i="4" s="1"/>
  <c r="AV67" i="4"/>
  <c r="AW69" i="4" s="1"/>
  <c r="AT67" i="4"/>
  <c r="AU77" i="4" s="1"/>
  <c r="AR67" i="4"/>
  <c r="AP67" i="4"/>
  <c r="AN67" i="4"/>
  <c r="AL67" i="4"/>
  <c r="AM80" i="4" s="1"/>
  <c r="AJ67" i="4"/>
  <c r="AH67" i="4"/>
  <c r="AF67" i="4"/>
  <c r="AG69" i="4" s="1"/>
  <c r="AD67" i="4"/>
  <c r="AE80" i="4" s="1"/>
  <c r="AB67" i="4"/>
  <c r="Z67" i="4"/>
  <c r="X67" i="4"/>
  <c r="Y71" i="4" s="1"/>
  <c r="V67" i="4"/>
  <c r="W75" i="4" s="1"/>
  <c r="T67" i="4"/>
  <c r="R67" i="4"/>
  <c r="S68" i="4" s="1"/>
  <c r="P67" i="4"/>
  <c r="Q69" i="4" s="1"/>
  <c r="N67" i="4"/>
  <c r="O75" i="4" s="1"/>
  <c r="L67" i="4"/>
  <c r="J67" i="4"/>
  <c r="H67" i="4"/>
  <c r="F67" i="4"/>
  <c r="G75" i="4" s="1"/>
  <c r="D67" i="4"/>
  <c r="AO64" i="4"/>
  <c r="Y64" i="4"/>
  <c r="I64" i="4"/>
  <c r="B64" i="4"/>
  <c r="BA63" i="4"/>
  <c r="AW63" i="4"/>
  <c r="U63" i="4"/>
  <c r="Q63" i="4"/>
  <c r="B63" i="4"/>
  <c r="AO62" i="4"/>
  <c r="I62" i="4"/>
  <c r="B62" i="4"/>
  <c r="AQ61" i="4"/>
  <c r="AK61" i="4"/>
  <c r="AA61" i="4"/>
  <c r="K61" i="4"/>
  <c r="B61" i="4"/>
  <c r="AY60" i="4"/>
  <c r="AI60" i="4"/>
  <c r="S60" i="4"/>
  <c r="B60" i="4"/>
  <c r="AQ59" i="4"/>
  <c r="AA59" i="4"/>
  <c r="K59" i="4"/>
  <c r="B59" i="4"/>
  <c r="AY58" i="4"/>
  <c r="AI58" i="4"/>
  <c r="S58" i="4"/>
  <c r="B58" i="4"/>
  <c r="AW57" i="4"/>
  <c r="AG57" i="4"/>
  <c r="AA57" i="4"/>
  <c r="Q57" i="4"/>
  <c r="B57" i="4"/>
  <c r="AO56" i="4"/>
  <c r="Y56" i="4"/>
  <c r="I56" i="4"/>
  <c r="B56" i="4"/>
  <c r="BA55" i="4"/>
  <c r="AW55" i="4"/>
  <c r="AK55" i="4"/>
  <c r="AG55" i="4"/>
  <c r="AA55" i="4"/>
  <c r="U55" i="4"/>
  <c r="Q55" i="4"/>
  <c r="E55" i="4"/>
  <c r="B55" i="4"/>
  <c r="AO54" i="4"/>
  <c r="Y54" i="4"/>
  <c r="I54" i="4"/>
  <c r="B54" i="4"/>
  <c r="AY53" i="4"/>
  <c r="AU53" i="4"/>
  <c r="AI53" i="4"/>
  <c r="S53" i="4"/>
  <c r="O53" i="4"/>
  <c r="B53" i="4"/>
  <c r="AW52" i="4"/>
  <c r="AQ52" i="4"/>
  <c r="AK52" i="4"/>
  <c r="AG52" i="4"/>
  <c r="Y52" i="4"/>
  <c r="Q52" i="4"/>
  <c r="I52" i="4"/>
  <c r="B52" i="4"/>
  <c r="BB51" i="4"/>
  <c r="BC58" i="4" s="1"/>
  <c r="AZ51" i="4"/>
  <c r="BA57" i="4" s="1"/>
  <c r="AX51" i="4"/>
  <c r="AY62" i="4" s="1"/>
  <c r="AV51" i="4"/>
  <c r="AT51" i="4"/>
  <c r="AR51" i="4"/>
  <c r="AS62" i="4" s="1"/>
  <c r="AP51" i="4"/>
  <c r="AQ63" i="4" s="1"/>
  <c r="AN51" i="4"/>
  <c r="AO60" i="4" s="1"/>
  <c r="AL51" i="4"/>
  <c r="AJ51" i="4"/>
  <c r="AK59" i="4" s="1"/>
  <c r="AH51" i="4"/>
  <c r="AI54" i="4" s="1"/>
  <c r="AF51" i="4"/>
  <c r="AD51" i="4"/>
  <c r="AE59" i="4" s="1"/>
  <c r="AB51" i="4"/>
  <c r="Z51" i="4"/>
  <c r="AA63" i="4" s="1"/>
  <c r="X51" i="4"/>
  <c r="Y62" i="4" s="1"/>
  <c r="V51" i="4"/>
  <c r="W52" i="4" s="1"/>
  <c r="T51" i="4"/>
  <c r="U57" i="4" s="1"/>
  <c r="R51" i="4"/>
  <c r="S62" i="4" s="1"/>
  <c r="P51" i="4"/>
  <c r="N51" i="4"/>
  <c r="L51" i="4"/>
  <c r="J51" i="4"/>
  <c r="K63" i="4" s="1"/>
  <c r="H51" i="4"/>
  <c r="I60" i="4" s="1"/>
  <c r="F51" i="4"/>
  <c r="G52" i="4" s="1"/>
  <c r="D51" i="4"/>
  <c r="E59" i="4" s="1"/>
  <c r="AY48" i="4"/>
  <c r="AW48" i="4"/>
  <c r="AQ48" i="4"/>
  <c r="AO48" i="4"/>
  <c r="AI48" i="4"/>
  <c r="AG48" i="4"/>
  <c r="AA48" i="4"/>
  <c r="Y48" i="4"/>
  <c r="S48" i="4"/>
  <c r="Q48" i="4"/>
  <c r="K48" i="4"/>
  <c r="I48" i="4"/>
  <c r="B48" i="4"/>
  <c r="AY47" i="4"/>
  <c r="AW47" i="4"/>
  <c r="AQ47" i="4"/>
  <c r="AO47" i="4"/>
  <c r="AI47" i="4"/>
  <c r="AG47" i="4"/>
  <c r="AA47" i="4"/>
  <c r="Y47" i="4"/>
  <c r="S47" i="4"/>
  <c r="Q47" i="4"/>
  <c r="K47" i="4"/>
  <c r="I47" i="4"/>
  <c r="B47" i="4"/>
  <c r="AY46" i="4"/>
  <c r="AW46" i="4"/>
  <c r="AQ46" i="4"/>
  <c r="AO46" i="4"/>
  <c r="AI46" i="4"/>
  <c r="AG46" i="4"/>
  <c r="AA46" i="4"/>
  <c r="Y46" i="4"/>
  <c r="S46" i="4"/>
  <c r="Q46" i="4"/>
  <c r="K46" i="4"/>
  <c r="I46" i="4"/>
  <c r="B46" i="4"/>
  <c r="AY45" i="4"/>
  <c r="AW45" i="4"/>
  <c r="AQ45" i="4"/>
  <c r="AO45" i="4"/>
  <c r="AI45" i="4"/>
  <c r="AG45" i="4"/>
  <c r="AA45" i="4"/>
  <c r="Y45" i="4"/>
  <c r="S45" i="4"/>
  <c r="Q45" i="4"/>
  <c r="K45" i="4"/>
  <c r="I45" i="4"/>
  <c r="B45" i="4"/>
  <c r="AY44" i="4"/>
  <c r="AW44" i="4"/>
  <c r="AQ44" i="4"/>
  <c r="AO44" i="4"/>
  <c r="AI44" i="4"/>
  <c r="AG44" i="4"/>
  <c r="AA44" i="4"/>
  <c r="Y44" i="4"/>
  <c r="S44" i="4"/>
  <c r="Q44" i="4"/>
  <c r="K44" i="4"/>
  <c r="I44" i="4"/>
  <c r="B44" i="4"/>
  <c r="AY43" i="4"/>
  <c r="AW43" i="4"/>
  <c r="AQ43" i="4"/>
  <c r="AO43" i="4"/>
  <c r="AI43" i="4"/>
  <c r="AG43" i="4"/>
  <c r="AA43" i="4"/>
  <c r="Y43" i="4"/>
  <c r="S43" i="4"/>
  <c r="Q43" i="4"/>
  <c r="K43" i="4"/>
  <c r="I43" i="4"/>
  <c r="B43" i="4"/>
  <c r="AY42" i="4"/>
  <c r="AW42" i="4"/>
  <c r="AQ42" i="4"/>
  <c r="AO42" i="4"/>
  <c r="AI42" i="4"/>
  <c r="AG42" i="4"/>
  <c r="AA42" i="4"/>
  <c r="Y42" i="4"/>
  <c r="S42" i="4"/>
  <c r="Q42" i="4"/>
  <c r="K42" i="4"/>
  <c r="I42" i="4"/>
  <c r="B42" i="4"/>
  <c r="AY41" i="4"/>
  <c r="AW41" i="4"/>
  <c r="AQ41" i="4"/>
  <c r="AO41" i="4"/>
  <c r="AI41" i="4"/>
  <c r="AG41" i="4"/>
  <c r="AA41" i="4"/>
  <c r="Y41" i="4"/>
  <c r="S41" i="4"/>
  <c r="Q41" i="4"/>
  <c r="K41" i="4"/>
  <c r="I41" i="4"/>
  <c r="B41" i="4"/>
  <c r="AY40" i="4"/>
  <c r="AW40" i="4"/>
  <c r="AQ40" i="4"/>
  <c r="AO40" i="4"/>
  <c r="AI40" i="4"/>
  <c r="AG40" i="4"/>
  <c r="AA40" i="4"/>
  <c r="Y40" i="4"/>
  <c r="S40" i="4"/>
  <c r="Q40" i="4"/>
  <c r="K40" i="4"/>
  <c r="I40" i="4"/>
  <c r="B40" i="4"/>
  <c r="AY39" i="4"/>
  <c r="AW39" i="4"/>
  <c r="AQ39" i="4"/>
  <c r="AO39" i="4"/>
  <c r="AI39" i="4"/>
  <c r="AG39" i="4"/>
  <c r="AA39" i="4"/>
  <c r="Y39" i="4"/>
  <c r="S39" i="4"/>
  <c r="Q39" i="4"/>
  <c r="K39" i="4"/>
  <c r="I39" i="4"/>
  <c r="B39" i="4"/>
  <c r="AY38" i="4"/>
  <c r="AW38" i="4"/>
  <c r="AQ38" i="4"/>
  <c r="AO38" i="4"/>
  <c r="AI38" i="4"/>
  <c r="AG38" i="4"/>
  <c r="AA38" i="4"/>
  <c r="Y38" i="4"/>
  <c r="S38" i="4"/>
  <c r="Q38" i="4"/>
  <c r="K38" i="4"/>
  <c r="I38" i="4"/>
  <c r="B38" i="4"/>
  <c r="AW37" i="4"/>
  <c r="AU37" i="4"/>
  <c r="AO37" i="4"/>
  <c r="AG37" i="4"/>
  <c r="Y37" i="4"/>
  <c r="Q37" i="4"/>
  <c r="I37" i="4"/>
  <c r="B37" i="4"/>
  <c r="AW36" i="4"/>
  <c r="AO36" i="4"/>
  <c r="AG36" i="4"/>
  <c r="AE36" i="4"/>
  <c r="Y36" i="4"/>
  <c r="Q36" i="4"/>
  <c r="I36" i="4"/>
  <c r="B36" i="4"/>
  <c r="BB35" i="4"/>
  <c r="AZ35" i="4"/>
  <c r="AX35" i="4"/>
  <c r="AY37" i="4" s="1"/>
  <c r="AV35" i="4"/>
  <c r="AT35" i="4"/>
  <c r="AR35" i="4"/>
  <c r="AP35" i="4"/>
  <c r="AQ36" i="4" s="1"/>
  <c r="AN35" i="4"/>
  <c r="AL35" i="4"/>
  <c r="AJ35" i="4"/>
  <c r="AH35" i="4"/>
  <c r="AI37" i="4" s="1"/>
  <c r="AF35" i="4"/>
  <c r="AD35" i="4"/>
  <c r="AB35" i="4"/>
  <c r="Z35" i="4"/>
  <c r="AA36" i="4" s="1"/>
  <c r="X35" i="4"/>
  <c r="V35" i="4"/>
  <c r="T35" i="4"/>
  <c r="R35" i="4"/>
  <c r="S37" i="4" s="1"/>
  <c r="P35" i="4"/>
  <c r="N35" i="4"/>
  <c r="O37" i="4" s="1"/>
  <c r="L35" i="4"/>
  <c r="J35" i="4"/>
  <c r="K36" i="4" s="1"/>
  <c r="H35" i="4"/>
  <c r="F35" i="4"/>
  <c r="G37" i="4" s="1"/>
  <c r="D35" i="4"/>
  <c r="AY32" i="4"/>
  <c r="AQ32" i="4"/>
  <c r="AI32" i="4"/>
  <c r="AA32" i="4"/>
  <c r="S32" i="4"/>
  <c r="K32" i="4"/>
  <c r="B32" i="4"/>
  <c r="AY31" i="4"/>
  <c r="AQ31" i="4"/>
  <c r="AI31" i="4"/>
  <c r="AA31" i="4"/>
  <c r="S31" i="4"/>
  <c r="K31" i="4"/>
  <c r="B31" i="4"/>
  <c r="AY30" i="4"/>
  <c r="AQ30" i="4"/>
  <c r="AI30" i="4"/>
  <c r="AA30" i="4"/>
  <c r="S30" i="4"/>
  <c r="K30" i="4"/>
  <c r="B30" i="4"/>
  <c r="AY29" i="4"/>
  <c r="AQ29" i="4"/>
  <c r="AI29" i="4"/>
  <c r="AA29" i="4"/>
  <c r="S29" i="4"/>
  <c r="O29" i="4"/>
  <c r="K29" i="4"/>
  <c r="B29" i="4"/>
  <c r="AY28" i="4"/>
  <c r="AU28" i="4"/>
  <c r="AQ28" i="4"/>
  <c r="AI28" i="4"/>
  <c r="AE28" i="4"/>
  <c r="AA28" i="4"/>
  <c r="S28" i="4"/>
  <c r="O28" i="4"/>
  <c r="K28" i="4"/>
  <c r="B28" i="4"/>
  <c r="AY27" i="4"/>
  <c r="AU27" i="4"/>
  <c r="AQ27" i="4"/>
  <c r="AM27" i="4"/>
  <c r="AI27" i="4"/>
  <c r="AE27" i="4"/>
  <c r="AA27" i="4"/>
  <c r="S27" i="4"/>
  <c r="O27" i="4"/>
  <c r="K27" i="4"/>
  <c r="B27" i="4"/>
  <c r="AY26" i="4"/>
  <c r="AU26" i="4"/>
  <c r="AQ26" i="4"/>
  <c r="AI26" i="4"/>
  <c r="AE26" i="4"/>
  <c r="AA26" i="4"/>
  <c r="S26" i="4"/>
  <c r="O26" i="4"/>
  <c r="K26" i="4"/>
  <c r="B26" i="4"/>
  <c r="AY25" i="4"/>
  <c r="AU25" i="4"/>
  <c r="AQ25" i="4"/>
  <c r="AI25" i="4"/>
  <c r="AE25" i="4"/>
  <c r="AA25" i="4"/>
  <c r="Y25" i="4"/>
  <c r="S25" i="4"/>
  <c r="O25" i="4"/>
  <c r="K25" i="4"/>
  <c r="B25" i="4"/>
  <c r="AY24" i="4"/>
  <c r="AU24" i="4"/>
  <c r="AQ24" i="4"/>
  <c r="AI24" i="4"/>
  <c r="AG24" i="4"/>
  <c r="AE24" i="4"/>
  <c r="AA24" i="4"/>
  <c r="S24" i="4"/>
  <c r="O24" i="4"/>
  <c r="K24" i="4"/>
  <c r="B24" i="4"/>
  <c r="AY23" i="4"/>
  <c r="AU23" i="4"/>
  <c r="AQ23" i="4"/>
  <c r="AI23" i="4"/>
  <c r="AE23" i="4"/>
  <c r="AA23" i="4"/>
  <c r="S23" i="4"/>
  <c r="O23" i="4"/>
  <c r="K23" i="4"/>
  <c r="B23" i="4"/>
  <c r="AY22" i="4"/>
  <c r="AU22" i="4"/>
  <c r="AQ22" i="4"/>
  <c r="AI22" i="4"/>
  <c r="AE22" i="4"/>
  <c r="AA22" i="4"/>
  <c r="S22" i="4"/>
  <c r="O22" i="4"/>
  <c r="K22" i="4"/>
  <c r="B22" i="4"/>
  <c r="AY21" i="4"/>
  <c r="AU21" i="4"/>
  <c r="AQ21" i="4"/>
  <c r="AI21" i="4"/>
  <c r="AE21" i="4"/>
  <c r="AA21" i="4"/>
  <c r="Y21" i="4"/>
  <c r="S21" i="4"/>
  <c r="O21" i="4"/>
  <c r="K21" i="4"/>
  <c r="B21" i="4"/>
  <c r="AY20" i="4"/>
  <c r="AU20" i="4"/>
  <c r="AQ20" i="4"/>
  <c r="AI20" i="4"/>
  <c r="AG20" i="4"/>
  <c r="AE20" i="4"/>
  <c r="AA20" i="4"/>
  <c r="S20" i="4"/>
  <c r="O20" i="4"/>
  <c r="K20" i="4"/>
  <c r="B20" i="4"/>
  <c r="BB19" i="4"/>
  <c r="BC26" i="4" s="1"/>
  <c r="AZ19" i="4"/>
  <c r="AX19" i="4"/>
  <c r="AV19" i="4"/>
  <c r="AW26" i="4" s="1"/>
  <c r="AT19" i="4"/>
  <c r="AR19" i="4"/>
  <c r="AP19" i="4"/>
  <c r="AN19" i="4"/>
  <c r="AO25" i="4" s="1"/>
  <c r="AL19" i="4"/>
  <c r="AM24" i="4" s="1"/>
  <c r="AJ19" i="4"/>
  <c r="AH19" i="4"/>
  <c r="AF19" i="4"/>
  <c r="AD19" i="4"/>
  <c r="AB19" i="4"/>
  <c r="Z19" i="4"/>
  <c r="X19" i="4"/>
  <c r="Y23" i="4" s="1"/>
  <c r="V19" i="4"/>
  <c r="T19" i="4"/>
  <c r="R19" i="4"/>
  <c r="P19" i="4"/>
  <c r="N19" i="4"/>
  <c r="L19" i="4"/>
  <c r="J19" i="4"/>
  <c r="H19" i="4"/>
  <c r="I25" i="4" s="1"/>
  <c r="F19" i="4"/>
  <c r="G25" i="4" s="1"/>
  <c r="D19" i="4"/>
  <c r="AW15" i="4"/>
  <c r="AG15" i="4"/>
  <c r="K15" i="4"/>
  <c r="I15" i="4"/>
  <c r="B15" i="4"/>
  <c r="AY14" i="4"/>
  <c r="S14" i="4"/>
  <c r="Q14" i="4"/>
  <c r="M14" i="4"/>
  <c r="B14" i="4"/>
  <c r="AW13" i="4"/>
  <c r="AQ13" i="4"/>
  <c r="AG13" i="4"/>
  <c r="Q13" i="4"/>
  <c r="B13" i="4"/>
  <c r="AY12" i="4"/>
  <c r="AW12" i="4"/>
  <c r="AI12" i="4"/>
  <c r="B12" i="4"/>
  <c r="AQ11" i="4"/>
  <c r="AG11" i="4"/>
  <c r="AA11" i="4"/>
  <c r="Q11" i="4"/>
  <c r="B11" i="4"/>
  <c r="AW10" i="4"/>
  <c r="AI10" i="4"/>
  <c r="AG10" i="4"/>
  <c r="S10" i="4"/>
  <c r="B10" i="4"/>
  <c r="AW9" i="4"/>
  <c r="AQ9" i="4"/>
  <c r="AA9" i="4"/>
  <c r="Q9" i="4"/>
  <c r="K9" i="4"/>
  <c r="B9" i="4"/>
  <c r="AW8" i="4"/>
  <c r="AO8" i="4"/>
  <c r="AI8" i="4"/>
  <c r="AG8" i="4"/>
  <c r="S8" i="4"/>
  <c r="Q8" i="4"/>
  <c r="B8" i="4"/>
  <c r="AW7" i="4"/>
  <c r="AS7" i="4"/>
  <c r="AG7" i="4"/>
  <c r="AA7" i="4"/>
  <c r="K7" i="4"/>
  <c r="B7" i="4"/>
  <c r="AY6" i="4"/>
  <c r="AG6" i="4"/>
  <c r="Y6" i="4"/>
  <c r="S6" i="4"/>
  <c r="Q6" i="4"/>
  <c r="B6" i="4"/>
  <c r="AQ5" i="4"/>
  <c r="AG5" i="4"/>
  <c r="AC5" i="4"/>
  <c r="Q5" i="4"/>
  <c r="K5" i="4"/>
  <c r="B5" i="4"/>
  <c r="AY4" i="4"/>
  <c r="AW4" i="4"/>
  <c r="AI4" i="4"/>
  <c r="Q4" i="4"/>
  <c r="I4" i="4"/>
  <c r="B4" i="4"/>
  <c r="AQ3" i="4"/>
  <c r="AO3" i="4"/>
  <c r="AA3" i="4"/>
  <c r="S3" i="4"/>
  <c r="Q3" i="4"/>
  <c r="K3" i="4"/>
  <c r="B3" i="4"/>
  <c r="BB2" i="4"/>
  <c r="BC15" i="4" s="1"/>
  <c r="AZ2" i="4"/>
  <c r="BA6" i="4" s="1"/>
  <c r="AX2" i="4"/>
  <c r="AY10" i="4" s="1"/>
  <c r="AV2" i="4"/>
  <c r="AW11" i="4" s="1"/>
  <c r="AT2" i="4"/>
  <c r="AU14" i="4" s="1"/>
  <c r="AR2" i="4"/>
  <c r="AS13" i="4" s="1"/>
  <c r="AP2" i="4"/>
  <c r="AN2" i="4"/>
  <c r="AO14" i="4" s="1"/>
  <c r="AL2" i="4"/>
  <c r="AM15" i="4" s="1"/>
  <c r="AJ2" i="4"/>
  <c r="AK15" i="4" s="1"/>
  <c r="AH2" i="4"/>
  <c r="AI6" i="4" s="1"/>
  <c r="AF2" i="4"/>
  <c r="AG9" i="4" s="1"/>
  <c r="AD2" i="4"/>
  <c r="AE14" i="4" s="1"/>
  <c r="AB2" i="4"/>
  <c r="AC11" i="4" s="1"/>
  <c r="Z2" i="4"/>
  <c r="X2" i="4"/>
  <c r="Y12" i="4" s="1"/>
  <c r="V2" i="4"/>
  <c r="W15" i="4" s="1"/>
  <c r="T2" i="4"/>
  <c r="U13" i="4" s="1"/>
  <c r="R2" i="4"/>
  <c r="S4" i="4" s="1"/>
  <c r="P2" i="4"/>
  <c r="Q7" i="4" s="1"/>
  <c r="N2" i="4"/>
  <c r="O14" i="4" s="1"/>
  <c r="L2" i="4"/>
  <c r="M9" i="4" s="1"/>
  <c r="J2" i="4"/>
  <c r="H2" i="4"/>
  <c r="I10" i="4" s="1"/>
  <c r="F2" i="4"/>
  <c r="G15" i="4" s="1"/>
  <c r="D2" i="4"/>
  <c r="E11" i="4" s="1"/>
  <c r="X63" i="3"/>
  <c r="X62" i="3"/>
  <c r="X61" i="3"/>
  <c r="X60" i="3"/>
  <c r="X59" i="3"/>
  <c r="X58" i="3"/>
  <c r="X57" i="3"/>
  <c r="X56" i="3"/>
  <c r="X55" i="3"/>
  <c r="X54" i="3"/>
  <c r="X53" i="3"/>
  <c r="X52" i="3"/>
  <c r="X51" i="3"/>
  <c r="X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X47" i="3"/>
  <c r="X46" i="3"/>
  <c r="X45" i="3"/>
  <c r="X44" i="3"/>
  <c r="X43" i="3"/>
  <c r="X42" i="3"/>
  <c r="X41" i="3"/>
  <c r="X40" i="3"/>
  <c r="X39" i="3"/>
  <c r="X38" i="3"/>
  <c r="X37" i="3"/>
  <c r="BN36" i="3"/>
  <c r="BM36" i="3"/>
  <c r="BL36" i="3"/>
  <c r="BK36" i="3"/>
  <c r="BJ36" i="3"/>
  <c r="BI36" i="3"/>
  <c r="BE36" i="3"/>
  <c r="BD36" i="3"/>
  <c r="BA36" i="3"/>
  <c r="AZ36" i="3"/>
  <c r="AW36" i="3"/>
  <c r="AV36" i="3"/>
  <c r="AU36" i="3"/>
  <c r="AS36" i="3"/>
  <c r="AQ36" i="3"/>
  <c r="AO36" i="3"/>
  <c r="X36" i="3"/>
  <c r="BN35" i="3"/>
  <c r="BM35" i="3"/>
  <c r="BL35" i="3"/>
  <c r="BK35" i="3"/>
  <c r="BJ35" i="3"/>
  <c r="BI35" i="3"/>
  <c r="BG35" i="3"/>
  <c r="BE35" i="3"/>
  <c r="BD35" i="3"/>
  <c r="BC35" i="3"/>
  <c r="BA35" i="3"/>
  <c r="AY35" i="3"/>
  <c r="AW35" i="3"/>
  <c r="AV35" i="3"/>
  <c r="AU35" i="3"/>
  <c r="AS35" i="3"/>
  <c r="AQ35" i="3"/>
  <c r="AO35" i="3"/>
  <c r="X35" i="3"/>
  <c r="X34" i="3"/>
  <c r="U33" i="3"/>
  <c r="T33" i="3"/>
  <c r="BH35" i="3" s="1"/>
  <c r="S33" i="3"/>
  <c r="BG36" i="3" s="1"/>
  <c r="R33" i="3"/>
  <c r="BF35" i="3" s="1"/>
  <c r="Q33" i="3"/>
  <c r="P33" i="3"/>
  <c r="O33" i="3"/>
  <c r="BC36" i="3" s="1"/>
  <c r="N33" i="3"/>
  <c r="BB36" i="3" s="1"/>
  <c r="M33" i="3"/>
  <c r="L33" i="3"/>
  <c r="AZ35" i="3" s="1"/>
  <c r="K33" i="3"/>
  <c r="AY36" i="3" s="1"/>
  <c r="J33" i="3"/>
  <c r="AX35" i="3" s="1"/>
  <c r="I33" i="3"/>
  <c r="H33" i="3"/>
  <c r="G33" i="3"/>
  <c r="F33" i="3"/>
  <c r="AT36" i="3" s="1"/>
  <c r="E33" i="3"/>
  <c r="D33" i="3"/>
  <c r="AR35" i="3" s="1"/>
  <c r="C33" i="3"/>
  <c r="B33" i="3"/>
  <c r="AP35" i="3" s="1"/>
  <c r="A33" i="3"/>
  <c r="X31" i="3"/>
  <c r="X30" i="3"/>
  <c r="X29" i="3"/>
  <c r="X28" i="3"/>
  <c r="X27" i="3"/>
  <c r="X26" i="3"/>
  <c r="X25" i="3"/>
  <c r="X24" i="3"/>
  <c r="X23" i="3"/>
  <c r="X22" i="3"/>
  <c r="X21" i="3"/>
  <c r="X20" i="3"/>
  <c r="X19" i="3"/>
  <c r="X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X15" i="3"/>
  <c r="X14" i="3"/>
  <c r="X13" i="3"/>
  <c r="X12" i="3"/>
  <c r="X11" i="3"/>
  <c r="X10" i="3"/>
  <c r="X9" i="3"/>
  <c r="X8" i="3"/>
  <c r="X7" i="3"/>
  <c r="X6" i="3"/>
  <c r="X5" i="3"/>
  <c r="X4" i="3"/>
  <c r="X3" i="3"/>
  <c r="X2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AC19" i="2"/>
  <c r="AC18" i="2"/>
  <c r="AC17" i="2"/>
  <c r="AC16" i="2"/>
  <c r="AC15" i="2"/>
  <c r="AC14" i="2"/>
  <c r="AC13" i="2"/>
  <c r="AC12" i="2"/>
  <c r="AC11" i="2"/>
  <c r="AC10" i="2"/>
  <c r="AC9" i="2"/>
  <c r="AC8" i="2"/>
  <c r="AC7" i="2"/>
  <c r="AC6" i="2"/>
  <c r="BC5" i="2"/>
  <c r="BA5" i="2"/>
  <c r="Z5" i="2"/>
  <c r="Y5" i="2"/>
  <c r="BB5" i="2" s="1"/>
  <c r="X5" i="2"/>
  <c r="W5" i="2"/>
  <c r="AZ5" i="2" s="1"/>
  <c r="V5" i="2"/>
  <c r="AY5" i="2" s="1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L16" i="1"/>
  <c r="AK16" i="1"/>
  <c r="AJ16" i="1"/>
  <c r="AI16" i="1"/>
  <c r="AH16" i="1"/>
  <c r="AG16" i="1"/>
  <c r="AF16" i="1"/>
  <c r="AE16" i="1"/>
  <c r="AD16" i="1"/>
  <c r="AC16" i="1"/>
  <c r="AM15" i="1"/>
  <c r="AL15" i="1"/>
  <c r="AK15" i="1"/>
  <c r="AJ15" i="1"/>
  <c r="AI15" i="1"/>
  <c r="AH15" i="1"/>
  <c r="AG15" i="1"/>
  <c r="AF15" i="1"/>
  <c r="AE15" i="1"/>
  <c r="AD15" i="1"/>
  <c r="AC15" i="1"/>
  <c r="AJ14" i="1"/>
  <c r="AI14" i="1"/>
  <c r="AH14" i="1"/>
  <c r="AG14" i="1"/>
  <c r="AF14" i="1"/>
  <c r="AE14" i="1"/>
  <c r="AD14" i="1"/>
  <c r="AC14" i="1"/>
  <c r="AN13" i="1"/>
  <c r="AM13" i="1"/>
  <c r="AL13" i="1"/>
  <c r="AK13" i="1"/>
  <c r="AJ13" i="1"/>
  <c r="AI13" i="1"/>
  <c r="AH13" i="1"/>
  <c r="AG13" i="1"/>
  <c r="AF13" i="1"/>
  <c r="AE13" i="1"/>
  <c r="AD13" i="1"/>
  <c r="AC13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I10" i="1"/>
  <c r="AH10" i="1"/>
  <c r="AG10" i="1"/>
  <c r="AF10" i="1"/>
  <c r="AE10" i="1"/>
  <c r="AD10" i="1"/>
  <c r="AC10" i="1"/>
  <c r="AH9" i="1"/>
  <c r="AG9" i="1"/>
  <c r="AF9" i="1"/>
  <c r="AE9" i="1"/>
  <c r="AD9" i="1"/>
  <c r="AC9" i="1"/>
  <c r="AE8" i="1"/>
  <c r="AD8" i="1"/>
  <c r="AC8" i="1"/>
  <c r="AG7" i="1"/>
  <c r="AF7" i="1"/>
  <c r="AE7" i="1"/>
  <c r="AD7" i="1"/>
  <c r="AC7" i="1"/>
  <c r="AF6" i="1"/>
  <c r="AE6" i="1"/>
  <c r="AD6" i="1"/>
  <c r="AC6" i="1"/>
  <c r="AD5" i="1"/>
  <c r="AC5" i="1"/>
  <c r="AC4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AB12" i="1" s="1"/>
  <c r="C1" i="1"/>
  <c r="B1" i="1"/>
  <c r="A1" i="1"/>
  <c r="AB16" i="1" s="1"/>
  <c r="W32" i="4" l="1"/>
  <c r="W30" i="4"/>
  <c r="W31" i="4"/>
  <c r="W29" i="4"/>
  <c r="G27" i="4"/>
  <c r="W47" i="4"/>
  <c r="W45" i="4"/>
  <c r="W43" i="4"/>
  <c r="W41" i="4"/>
  <c r="W39" i="4"/>
  <c r="W48" i="4"/>
  <c r="W46" i="4"/>
  <c r="W44" i="4"/>
  <c r="W42" i="4"/>
  <c r="W40" i="4"/>
  <c r="W38" i="4"/>
  <c r="W36" i="4"/>
  <c r="W37" i="4"/>
  <c r="AB5" i="1"/>
  <c r="BO36" i="3"/>
  <c r="BF36" i="3"/>
  <c r="AO4" i="4"/>
  <c r="AK5" i="4"/>
  <c r="E6" i="4"/>
  <c r="BA7" i="4"/>
  <c r="U8" i="4"/>
  <c r="M10" i="4"/>
  <c r="AK10" i="4"/>
  <c r="AC12" i="4"/>
  <c r="BA12" i="4"/>
  <c r="Y13" i="4"/>
  <c r="AS14" i="4"/>
  <c r="M15" i="4"/>
  <c r="AO15" i="4"/>
  <c r="G20" i="4"/>
  <c r="AM23" i="4"/>
  <c r="G24" i="4"/>
  <c r="AK9" i="4"/>
  <c r="AK14" i="4"/>
  <c r="AM22" i="4"/>
  <c r="AM26" i="4"/>
  <c r="G47" i="4"/>
  <c r="G45" i="4"/>
  <c r="G43" i="4"/>
  <c r="G41" i="4"/>
  <c r="G39" i="4"/>
  <c r="G48" i="4"/>
  <c r="G46" i="4"/>
  <c r="G44" i="4"/>
  <c r="G42" i="4"/>
  <c r="G40" i="4"/>
  <c r="G38" i="4"/>
  <c r="G36" i="4"/>
  <c r="AB7" i="1"/>
  <c r="U3" i="4"/>
  <c r="AS3" i="4"/>
  <c r="I11" i="4"/>
  <c r="AB10" i="1"/>
  <c r="AB11" i="1"/>
  <c r="AT35" i="3"/>
  <c r="BO35" i="3" s="1"/>
  <c r="BB35" i="3"/>
  <c r="AP36" i="3"/>
  <c r="AX36" i="3"/>
  <c r="BH36" i="3"/>
  <c r="K14" i="4"/>
  <c r="K12" i="4"/>
  <c r="K10" i="4"/>
  <c r="K8" i="4"/>
  <c r="K6" i="4"/>
  <c r="K4" i="4"/>
  <c r="AA14" i="4"/>
  <c r="AA12" i="4"/>
  <c r="AA10" i="4"/>
  <c r="AA8" i="4"/>
  <c r="AA6" i="4"/>
  <c r="AA4" i="4"/>
  <c r="AQ14" i="4"/>
  <c r="AQ12" i="4"/>
  <c r="AQ10" i="4"/>
  <c r="AQ8" i="4"/>
  <c r="AQ6" i="4"/>
  <c r="AQ4" i="4"/>
  <c r="Y3" i="4"/>
  <c r="AW3" i="4"/>
  <c r="AS4" i="4"/>
  <c r="M5" i="4"/>
  <c r="AO5" i="4"/>
  <c r="I6" i="4"/>
  <c r="E7" i="4"/>
  <c r="AC7" i="4"/>
  <c r="Y8" i="4"/>
  <c r="AY8" i="4"/>
  <c r="U9" i="4"/>
  <c r="AS9" i="4"/>
  <c r="Q10" i="4"/>
  <c r="AO10" i="4"/>
  <c r="K11" i="4"/>
  <c r="AK11" i="4"/>
  <c r="E12" i="4"/>
  <c r="AG12" i="4"/>
  <c r="AA13" i="4"/>
  <c r="BA13" i="4"/>
  <c r="U14" i="4"/>
  <c r="AW14" i="4"/>
  <c r="Q15" i="4"/>
  <c r="AQ15" i="4"/>
  <c r="M31" i="4"/>
  <c r="M32" i="4"/>
  <c r="M30" i="4"/>
  <c r="M28" i="4"/>
  <c r="M26" i="4"/>
  <c r="M24" i="4"/>
  <c r="M22" i="4"/>
  <c r="M20" i="4"/>
  <c r="M29" i="4"/>
  <c r="M27" i="4"/>
  <c r="M25" i="4"/>
  <c r="M23" i="4"/>
  <c r="M21" i="4"/>
  <c r="AC31" i="4"/>
  <c r="AC29" i="4"/>
  <c r="AC32" i="4"/>
  <c r="AC30" i="4"/>
  <c r="AC28" i="4"/>
  <c r="AC26" i="4"/>
  <c r="AC24" i="4"/>
  <c r="AC22" i="4"/>
  <c r="AC20" i="4"/>
  <c r="AC27" i="4"/>
  <c r="AC25" i="4"/>
  <c r="AC23" i="4"/>
  <c r="AC21" i="4"/>
  <c r="AS31" i="4"/>
  <c r="AS29" i="4"/>
  <c r="AS32" i="4"/>
  <c r="AS30" i="4"/>
  <c r="AS28" i="4"/>
  <c r="AS26" i="4"/>
  <c r="AS24" i="4"/>
  <c r="AS22" i="4"/>
  <c r="AS20" i="4"/>
  <c r="AS27" i="4"/>
  <c r="AS25" i="4"/>
  <c r="AS23" i="4"/>
  <c r="AS21" i="4"/>
  <c r="BC21" i="4"/>
  <c r="W22" i="4"/>
  <c r="AW22" i="4"/>
  <c r="AO23" i="4"/>
  <c r="BC25" i="4"/>
  <c r="W26" i="4"/>
  <c r="W28" i="4"/>
  <c r="E3" i="4"/>
  <c r="BA3" i="4"/>
  <c r="U4" i="4"/>
  <c r="M6" i="4"/>
  <c r="AK6" i="4"/>
  <c r="I7" i="4"/>
  <c r="AC8" i="4"/>
  <c r="BA8" i="4"/>
  <c r="Y9" i="4"/>
  <c r="AS10" i="4"/>
  <c r="M11" i="4"/>
  <c r="AO11" i="4"/>
  <c r="I12" i="4"/>
  <c r="E13" i="4"/>
  <c r="AC13" i="4"/>
  <c r="Y14" i="4"/>
  <c r="U15" i="4"/>
  <c r="AS15" i="4"/>
  <c r="AM20" i="4"/>
  <c r="G21" i="4"/>
  <c r="W27" i="4"/>
  <c r="BC27" i="4"/>
  <c r="AB8" i="1"/>
  <c r="AM32" i="4"/>
  <c r="AM30" i="4"/>
  <c r="AM31" i="4"/>
  <c r="AM29" i="4"/>
  <c r="AM28" i="4"/>
  <c r="AR36" i="3"/>
  <c r="I3" i="4"/>
  <c r="AC3" i="4"/>
  <c r="Y4" i="4"/>
  <c r="U5" i="4"/>
  <c r="AS5" i="4"/>
  <c r="AO6" i="4"/>
  <c r="AK7" i="4"/>
  <c r="E8" i="4"/>
  <c r="BA9" i="4"/>
  <c r="U10" i="4"/>
  <c r="M12" i="4"/>
  <c r="AK12" i="4"/>
  <c r="I13" i="4"/>
  <c r="AC14" i="4"/>
  <c r="BA14" i="4"/>
  <c r="Y15" i="4"/>
  <c r="Q31" i="4"/>
  <c r="Q28" i="4"/>
  <c r="Q32" i="4"/>
  <c r="Q29" i="4"/>
  <c r="Q27" i="4"/>
  <c r="Q25" i="4"/>
  <c r="Q23" i="4"/>
  <c r="Q21" i="4"/>
  <c r="Q30" i="4"/>
  <c r="AG29" i="4"/>
  <c r="AG28" i="4"/>
  <c r="AG30" i="4"/>
  <c r="AG31" i="4"/>
  <c r="AG27" i="4"/>
  <c r="AG25" i="4"/>
  <c r="AG23" i="4"/>
  <c r="AG21" i="4"/>
  <c r="AG32" i="4"/>
  <c r="AW31" i="4"/>
  <c r="AW28" i="4"/>
  <c r="AW32" i="4"/>
  <c r="AW29" i="4"/>
  <c r="AW27" i="4"/>
  <c r="AW25" i="4"/>
  <c r="AW23" i="4"/>
  <c r="AW21" i="4"/>
  <c r="AW30" i="4"/>
  <c r="Q20" i="4"/>
  <c r="I21" i="4"/>
  <c r="BC22" i="4"/>
  <c r="W23" i="4"/>
  <c r="Q24" i="4"/>
  <c r="AB4" i="1"/>
  <c r="G32" i="4"/>
  <c r="G30" i="4"/>
  <c r="G31" i="4"/>
  <c r="G29" i="4"/>
  <c r="G23" i="4"/>
  <c r="AM47" i="4"/>
  <c r="AM45" i="4"/>
  <c r="AM43" i="4"/>
  <c r="AM41" i="4"/>
  <c r="AM39" i="4"/>
  <c r="AM48" i="4"/>
  <c r="AM46" i="4"/>
  <c r="AM44" i="4"/>
  <c r="AM42" i="4"/>
  <c r="AM40" i="4"/>
  <c r="AM38" i="4"/>
  <c r="AM36" i="4"/>
  <c r="AB14" i="1"/>
  <c r="AB6" i="1"/>
  <c r="AG3" i="4"/>
  <c r="AC4" i="4"/>
  <c r="BA4" i="4"/>
  <c r="Y5" i="4"/>
  <c r="AW5" i="4"/>
  <c r="AS6" i="4"/>
  <c r="M7" i="4"/>
  <c r="AO7" i="4"/>
  <c r="I8" i="4"/>
  <c r="E9" i="4"/>
  <c r="AC9" i="4"/>
  <c r="Y10" i="4"/>
  <c r="U11" i="4"/>
  <c r="AS11" i="4"/>
  <c r="Q12" i="4"/>
  <c r="AO12" i="4"/>
  <c r="K13" i="4"/>
  <c r="AK13" i="4"/>
  <c r="E14" i="4"/>
  <c r="AG14" i="4"/>
  <c r="AA15" i="4"/>
  <c r="BA15" i="4"/>
  <c r="AM21" i="4"/>
  <c r="G22" i="4"/>
  <c r="AG22" i="4"/>
  <c r="AM25" i="4"/>
  <c r="G26" i="4"/>
  <c r="AG26" i="4"/>
  <c r="E5" i="4"/>
  <c r="U7" i="4"/>
  <c r="E10" i="4"/>
  <c r="BA11" i="4"/>
  <c r="U12" i="4"/>
  <c r="BC32" i="4"/>
  <c r="BC30" i="4"/>
  <c r="BC31" i="4"/>
  <c r="BC29" i="4"/>
  <c r="BC28" i="4"/>
  <c r="BC47" i="4"/>
  <c r="BC45" i="4"/>
  <c r="BC43" i="4"/>
  <c r="BC41" i="4"/>
  <c r="BC39" i="4"/>
  <c r="BC48" i="4"/>
  <c r="BC46" i="4"/>
  <c r="BC44" i="4"/>
  <c r="BC42" i="4"/>
  <c r="BC40" i="4"/>
  <c r="BC38" i="4"/>
  <c r="BC36" i="4"/>
  <c r="BC37" i="4"/>
  <c r="AB9" i="1"/>
  <c r="AB15" i="1"/>
  <c r="AB3" i="1"/>
  <c r="AB13" i="1"/>
  <c r="S15" i="4"/>
  <c r="S13" i="4"/>
  <c r="S11" i="4"/>
  <c r="S9" i="4"/>
  <c r="S7" i="4"/>
  <c r="S5" i="4"/>
  <c r="AI15" i="4"/>
  <c r="AI13" i="4"/>
  <c r="AI11" i="4"/>
  <c r="AI9" i="4"/>
  <c r="AI7" i="4"/>
  <c r="AI5" i="4"/>
  <c r="AI3" i="4"/>
  <c r="AY15" i="4"/>
  <c r="AY13" i="4"/>
  <c r="AY11" i="4"/>
  <c r="AY9" i="4"/>
  <c r="AY7" i="4"/>
  <c r="AY5" i="4"/>
  <c r="AY3" i="4"/>
  <c r="M3" i="4"/>
  <c r="AK3" i="4"/>
  <c r="E4" i="4"/>
  <c r="AG4" i="4"/>
  <c r="AA5" i="4"/>
  <c r="BA5" i="4"/>
  <c r="U6" i="4"/>
  <c r="AW6" i="4"/>
  <c r="AQ7" i="4"/>
  <c r="M8" i="4"/>
  <c r="AK8" i="4"/>
  <c r="I9" i="4"/>
  <c r="AC10" i="4"/>
  <c r="BA10" i="4"/>
  <c r="Y11" i="4"/>
  <c r="S12" i="4"/>
  <c r="AS12" i="4"/>
  <c r="M13" i="4"/>
  <c r="AO13" i="4"/>
  <c r="I14" i="4"/>
  <c r="AI14" i="4"/>
  <c r="E15" i="4"/>
  <c r="AC15" i="4"/>
  <c r="E32" i="4"/>
  <c r="C32" i="4" s="1"/>
  <c r="E30" i="4"/>
  <c r="E31" i="4"/>
  <c r="E29" i="4"/>
  <c r="E27" i="4"/>
  <c r="E25" i="4"/>
  <c r="E23" i="4"/>
  <c r="E21" i="4"/>
  <c r="E28" i="4"/>
  <c r="E26" i="4"/>
  <c r="E24" i="4"/>
  <c r="E22" i="4"/>
  <c r="E20" i="4"/>
  <c r="U32" i="4"/>
  <c r="U30" i="4"/>
  <c r="U31" i="4"/>
  <c r="U29" i="4"/>
  <c r="U27" i="4"/>
  <c r="U25" i="4"/>
  <c r="U23" i="4"/>
  <c r="U21" i="4"/>
  <c r="U28" i="4"/>
  <c r="U26" i="4"/>
  <c r="U24" i="4"/>
  <c r="U22" i="4"/>
  <c r="U20" i="4"/>
  <c r="AK32" i="4"/>
  <c r="AK30" i="4"/>
  <c r="AK31" i="4"/>
  <c r="AK29" i="4"/>
  <c r="AK27" i="4"/>
  <c r="AK25" i="4"/>
  <c r="AK23" i="4"/>
  <c r="AK21" i="4"/>
  <c r="AK28" i="4"/>
  <c r="AK26" i="4"/>
  <c r="AK24" i="4"/>
  <c r="AK22" i="4"/>
  <c r="AK20" i="4"/>
  <c r="BA32" i="4"/>
  <c r="BA30" i="4"/>
  <c r="BA31" i="4"/>
  <c r="BA29" i="4"/>
  <c r="BA27" i="4"/>
  <c r="BA25" i="4"/>
  <c r="BA23" i="4"/>
  <c r="BA21" i="4"/>
  <c r="BA28" i="4"/>
  <c r="BA26" i="4"/>
  <c r="BA24" i="4"/>
  <c r="BA22" i="4"/>
  <c r="BA20" i="4"/>
  <c r="W20" i="4"/>
  <c r="AW20" i="4"/>
  <c r="AO21" i="4"/>
  <c r="BC23" i="4"/>
  <c r="W24" i="4"/>
  <c r="AW24" i="4"/>
  <c r="G28" i="4"/>
  <c r="AM37" i="4"/>
  <c r="M4" i="4"/>
  <c r="AK4" i="4"/>
  <c r="I5" i="4"/>
  <c r="AC6" i="4"/>
  <c r="Y7" i="4"/>
  <c r="AS8" i="4"/>
  <c r="AO9" i="4"/>
  <c r="I30" i="4"/>
  <c r="I29" i="4"/>
  <c r="I27" i="4"/>
  <c r="I31" i="4"/>
  <c r="I32" i="4"/>
  <c r="I28" i="4"/>
  <c r="I26" i="4"/>
  <c r="I24" i="4"/>
  <c r="I22" i="4"/>
  <c r="I20" i="4"/>
  <c r="Y32" i="4"/>
  <c r="Y27" i="4"/>
  <c r="Y29" i="4"/>
  <c r="Y30" i="4"/>
  <c r="Y28" i="4"/>
  <c r="Y26" i="4"/>
  <c r="Y24" i="4"/>
  <c r="Y22" i="4"/>
  <c r="Y20" i="4"/>
  <c r="Y31" i="4"/>
  <c r="AO30" i="4"/>
  <c r="AO27" i="4"/>
  <c r="AO31" i="4"/>
  <c r="AO32" i="4"/>
  <c r="AO28" i="4"/>
  <c r="AO26" i="4"/>
  <c r="AO24" i="4"/>
  <c r="AO22" i="4"/>
  <c r="AO20" i="4"/>
  <c r="AO29" i="4"/>
  <c r="BC20" i="4"/>
  <c r="W21" i="4"/>
  <c r="Q22" i="4"/>
  <c r="I23" i="4"/>
  <c r="BC24" i="4"/>
  <c r="W25" i="4"/>
  <c r="Q26" i="4"/>
  <c r="O3" i="4"/>
  <c r="AE3" i="4"/>
  <c r="AU3" i="4"/>
  <c r="G4" i="4"/>
  <c r="W4" i="4"/>
  <c r="AM4" i="4"/>
  <c r="BC4" i="4"/>
  <c r="O5" i="4"/>
  <c r="AE5" i="4"/>
  <c r="AU5" i="4"/>
  <c r="G6" i="4"/>
  <c r="W6" i="4"/>
  <c r="AM6" i="4"/>
  <c r="BC6" i="4"/>
  <c r="O7" i="4"/>
  <c r="AE7" i="4"/>
  <c r="AU7" i="4"/>
  <c r="G8" i="4"/>
  <c r="W8" i="4"/>
  <c r="AM8" i="4"/>
  <c r="BC8" i="4"/>
  <c r="O9" i="4"/>
  <c r="AE9" i="4"/>
  <c r="AU9" i="4"/>
  <c r="G10" i="4"/>
  <c r="W10" i="4"/>
  <c r="AM10" i="4"/>
  <c r="BC10" i="4"/>
  <c r="O11" i="4"/>
  <c r="AE11" i="4"/>
  <c r="AU11" i="4"/>
  <c r="G12" i="4"/>
  <c r="W12" i="4"/>
  <c r="AM12" i="4"/>
  <c r="BC12" i="4"/>
  <c r="O13" i="4"/>
  <c r="AE13" i="4"/>
  <c r="AU13" i="4"/>
  <c r="G14" i="4"/>
  <c r="W14" i="4"/>
  <c r="AM14" i="4"/>
  <c r="BC14" i="4"/>
  <c r="O15" i="4"/>
  <c r="AE15" i="4"/>
  <c r="AU15" i="4"/>
  <c r="M63" i="4"/>
  <c r="M61" i="4"/>
  <c r="M59" i="4"/>
  <c r="M57" i="4"/>
  <c r="M55" i="4"/>
  <c r="M58" i="4"/>
  <c r="M53" i="4"/>
  <c r="M64" i="4"/>
  <c r="M54" i="4"/>
  <c r="M60" i="4"/>
  <c r="M52" i="4"/>
  <c r="M56" i="4"/>
  <c r="AC63" i="4"/>
  <c r="AC61" i="4"/>
  <c r="AC59" i="4"/>
  <c r="AC57" i="4"/>
  <c r="AC55" i="4"/>
  <c r="AC52" i="4"/>
  <c r="AC60" i="4"/>
  <c r="AC56" i="4"/>
  <c r="AC62" i="4"/>
  <c r="AC58" i="4"/>
  <c r="AC53" i="4"/>
  <c r="AC64" i="4"/>
  <c r="AS63" i="4"/>
  <c r="AS61" i="4"/>
  <c r="AS59" i="4"/>
  <c r="AS57" i="4"/>
  <c r="AS55" i="4"/>
  <c r="AS52" i="4"/>
  <c r="AS58" i="4"/>
  <c r="AS53" i="4"/>
  <c r="AS64" i="4"/>
  <c r="AS54" i="4"/>
  <c r="AS60" i="4"/>
  <c r="AS56" i="4"/>
  <c r="W58" i="4"/>
  <c r="O31" i="4"/>
  <c r="O32" i="4"/>
  <c r="O30" i="4"/>
  <c r="AE31" i="4"/>
  <c r="AE29" i="4"/>
  <c r="AE32" i="4"/>
  <c r="AE30" i="4"/>
  <c r="AU31" i="4"/>
  <c r="AU29" i="4"/>
  <c r="AU32" i="4"/>
  <c r="AU30" i="4"/>
  <c r="M36" i="4"/>
  <c r="M48" i="4"/>
  <c r="M46" i="4"/>
  <c r="M44" i="4"/>
  <c r="M42" i="4"/>
  <c r="M40" i="4"/>
  <c r="M38" i="4"/>
  <c r="M37" i="4"/>
  <c r="M47" i="4"/>
  <c r="M45" i="4"/>
  <c r="M43" i="4"/>
  <c r="M41" i="4"/>
  <c r="M39" i="4"/>
  <c r="AC36" i="4"/>
  <c r="AC48" i="4"/>
  <c r="AC46" i="4"/>
  <c r="AC44" i="4"/>
  <c r="AC42" i="4"/>
  <c r="AC40" i="4"/>
  <c r="AC38" i="4"/>
  <c r="AC37" i="4"/>
  <c r="AC47" i="4"/>
  <c r="AC45" i="4"/>
  <c r="AC43" i="4"/>
  <c r="AC41" i="4"/>
  <c r="AC39" i="4"/>
  <c r="AS36" i="4"/>
  <c r="AS48" i="4"/>
  <c r="AS46" i="4"/>
  <c r="AS44" i="4"/>
  <c r="AS42" i="4"/>
  <c r="AS40" i="4"/>
  <c r="AS38" i="4"/>
  <c r="AS37" i="4"/>
  <c r="AS47" i="4"/>
  <c r="AS45" i="4"/>
  <c r="AS43" i="4"/>
  <c r="AS41" i="4"/>
  <c r="AS39" i="4"/>
  <c r="O64" i="4"/>
  <c r="O62" i="4"/>
  <c r="O60" i="4"/>
  <c r="O58" i="4"/>
  <c r="O56" i="4"/>
  <c r="O54" i="4"/>
  <c r="O57" i="4"/>
  <c r="O63" i="4"/>
  <c r="O59" i="4"/>
  <c r="O52" i="4"/>
  <c r="O55" i="4"/>
  <c r="O61" i="4"/>
  <c r="AE64" i="4"/>
  <c r="AE62" i="4"/>
  <c r="AE60" i="4"/>
  <c r="AE58" i="4"/>
  <c r="AE56" i="4"/>
  <c r="AE54" i="4"/>
  <c r="AE55" i="4"/>
  <c r="AE61" i="4"/>
  <c r="AE57" i="4"/>
  <c r="AE53" i="4"/>
  <c r="AE63" i="4"/>
  <c r="AE52" i="4"/>
  <c r="AU52" i="4"/>
  <c r="AU64" i="4"/>
  <c r="AU62" i="4"/>
  <c r="AU60" i="4"/>
  <c r="AU58" i="4"/>
  <c r="AU56" i="4"/>
  <c r="AU54" i="4"/>
  <c r="AU57" i="4"/>
  <c r="AU63" i="4"/>
  <c r="AU59" i="4"/>
  <c r="AU55" i="4"/>
  <c r="AU61" i="4"/>
  <c r="E79" i="4"/>
  <c r="E77" i="4"/>
  <c r="E80" i="4"/>
  <c r="E78" i="4"/>
  <c r="E76" i="4"/>
  <c r="E74" i="4"/>
  <c r="E72" i="4"/>
  <c r="E70" i="4"/>
  <c r="E69" i="4"/>
  <c r="E75" i="4"/>
  <c r="E73" i="4"/>
  <c r="E71" i="4"/>
  <c r="E68" i="4"/>
  <c r="U79" i="4"/>
  <c r="U77" i="4"/>
  <c r="U80" i="4"/>
  <c r="U78" i="4"/>
  <c r="U76" i="4"/>
  <c r="U74" i="4"/>
  <c r="U72" i="4"/>
  <c r="U70" i="4"/>
  <c r="U69" i="4"/>
  <c r="U75" i="4"/>
  <c r="U73" i="4"/>
  <c r="U71" i="4"/>
  <c r="U68" i="4"/>
  <c r="AK79" i="4"/>
  <c r="AK77" i="4"/>
  <c r="AK80" i="4"/>
  <c r="AK78" i="4"/>
  <c r="AK76" i="4"/>
  <c r="AK74" i="4"/>
  <c r="AK72" i="4"/>
  <c r="AK70" i="4"/>
  <c r="AK69" i="4"/>
  <c r="AK75" i="4"/>
  <c r="AK73" i="4"/>
  <c r="AK71" i="4"/>
  <c r="AK68" i="4"/>
  <c r="BA79" i="4"/>
  <c r="BA77" i="4"/>
  <c r="BA80" i="4"/>
  <c r="BA78" i="4"/>
  <c r="BA76" i="4"/>
  <c r="BA74" i="4"/>
  <c r="BA72" i="4"/>
  <c r="BA70" i="4"/>
  <c r="BA69" i="4"/>
  <c r="BA75" i="4"/>
  <c r="BA73" i="4"/>
  <c r="BA71" i="4"/>
  <c r="BA68" i="4"/>
  <c r="O48" i="4"/>
  <c r="O46" i="4"/>
  <c r="O44" i="4"/>
  <c r="O42" i="4"/>
  <c r="O40" i="4"/>
  <c r="O38" i="4"/>
  <c r="O47" i="4"/>
  <c r="O45" i="4"/>
  <c r="O43" i="4"/>
  <c r="O41" i="4"/>
  <c r="O39" i="4"/>
  <c r="AE48" i="4"/>
  <c r="AE46" i="4"/>
  <c r="AE44" i="4"/>
  <c r="AE42" i="4"/>
  <c r="AE40" i="4"/>
  <c r="AE38" i="4"/>
  <c r="AE47" i="4"/>
  <c r="AE45" i="4"/>
  <c r="AE43" i="4"/>
  <c r="AE41" i="4"/>
  <c r="AE39" i="4"/>
  <c r="AU48" i="4"/>
  <c r="AU46" i="4"/>
  <c r="AU44" i="4"/>
  <c r="AU42" i="4"/>
  <c r="AU40" i="4"/>
  <c r="AU38" i="4"/>
  <c r="AU47" i="4"/>
  <c r="AU45" i="4"/>
  <c r="AU43" i="4"/>
  <c r="AU41" i="4"/>
  <c r="AU39" i="4"/>
  <c r="O36" i="4"/>
  <c r="AU36" i="4"/>
  <c r="AC54" i="4"/>
  <c r="G3" i="4"/>
  <c r="W3" i="4"/>
  <c r="AM3" i="4"/>
  <c r="BC3" i="4"/>
  <c r="O4" i="4"/>
  <c r="AE4" i="4"/>
  <c r="AU4" i="4"/>
  <c r="G5" i="4"/>
  <c r="W5" i="4"/>
  <c r="AM5" i="4"/>
  <c r="BC5" i="4"/>
  <c r="O6" i="4"/>
  <c r="AE6" i="4"/>
  <c r="AU6" i="4"/>
  <c r="G7" i="4"/>
  <c r="W7" i="4"/>
  <c r="AM7" i="4"/>
  <c r="BC7" i="4"/>
  <c r="O8" i="4"/>
  <c r="AE8" i="4"/>
  <c r="AU8" i="4"/>
  <c r="G9" i="4"/>
  <c r="W9" i="4"/>
  <c r="AM9" i="4"/>
  <c r="BC9" i="4"/>
  <c r="O10" i="4"/>
  <c r="AE10" i="4"/>
  <c r="AU10" i="4"/>
  <c r="G11" i="4"/>
  <c r="C11" i="4" s="1"/>
  <c r="W11" i="4"/>
  <c r="AM11" i="4"/>
  <c r="BC11" i="4"/>
  <c r="O12" i="4"/>
  <c r="AE12" i="4"/>
  <c r="AU12" i="4"/>
  <c r="G13" i="4"/>
  <c r="W13" i="4"/>
  <c r="AM13" i="4"/>
  <c r="BC13" i="4"/>
  <c r="AE37" i="4"/>
  <c r="E37" i="4"/>
  <c r="E47" i="4"/>
  <c r="E45" i="4"/>
  <c r="E43" i="4"/>
  <c r="E41" i="4"/>
  <c r="E39" i="4"/>
  <c r="E36" i="4"/>
  <c r="E48" i="4"/>
  <c r="C48" i="4" s="1"/>
  <c r="E46" i="4"/>
  <c r="E44" i="4"/>
  <c r="E42" i="4"/>
  <c r="E40" i="4"/>
  <c r="E38" i="4"/>
  <c r="U37" i="4"/>
  <c r="U47" i="4"/>
  <c r="U45" i="4"/>
  <c r="U43" i="4"/>
  <c r="U41" i="4"/>
  <c r="U39" i="4"/>
  <c r="U36" i="4"/>
  <c r="U48" i="4"/>
  <c r="U46" i="4"/>
  <c r="U44" i="4"/>
  <c r="U42" i="4"/>
  <c r="U40" i="4"/>
  <c r="U38" i="4"/>
  <c r="AK37" i="4"/>
  <c r="AK47" i="4"/>
  <c r="AK45" i="4"/>
  <c r="AK43" i="4"/>
  <c r="AK41" i="4"/>
  <c r="AK39" i="4"/>
  <c r="AK36" i="4"/>
  <c r="AK48" i="4"/>
  <c r="AK46" i="4"/>
  <c r="AK44" i="4"/>
  <c r="AK42" i="4"/>
  <c r="AK40" i="4"/>
  <c r="AK38" i="4"/>
  <c r="BA37" i="4"/>
  <c r="BA47" i="4"/>
  <c r="BA45" i="4"/>
  <c r="BA43" i="4"/>
  <c r="BA41" i="4"/>
  <c r="BA39" i="4"/>
  <c r="BA36" i="4"/>
  <c r="BA48" i="4"/>
  <c r="BA46" i="4"/>
  <c r="BA44" i="4"/>
  <c r="BA42" i="4"/>
  <c r="BA40" i="4"/>
  <c r="BA38" i="4"/>
  <c r="G53" i="4"/>
  <c r="G63" i="4"/>
  <c r="G61" i="4"/>
  <c r="G59" i="4"/>
  <c r="C59" i="4" s="1"/>
  <c r="G57" i="4"/>
  <c r="G55" i="4"/>
  <c r="C55" i="4" s="1"/>
  <c r="G56" i="4"/>
  <c r="G62" i="4"/>
  <c r="G58" i="4"/>
  <c r="G64" i="4"/>
  <c r="G54" i="4"/>
  <c r="G60" i="4"/>
  <c r="W53" i="4"/>
  <c r="W63" i="4"/>
  <c r="W61" i="4"/>
  <c r="W59" i="4"/>
  <c r="W57" i="4"/>
  <c r="W55" i="4"/>
  <c r="W64" i="4"/>
  <c r="W54" i="4"/>
  <c r="W60" i="4"/>
  <c r="W56" i="4"/>
  <c r="W62" i="4"/>
  <c r="AM53" i="4"/>
  <c r="AM63" i="4"/>
  <c r="AM61" i="4"/>
  <c r="AM59" i="4"/>
  <c r="AM57" i="4"/>
  <c r="AM55" i="4"/>
  <c r="AM56" i="4"/>
  <c r="AM62" i="4"/>
  <c r="AM52" i="4"/>
  <c r="AM58" i="4"/>
  <c r="AM64" i="4"/>
  <c r="AM54" i="4"/>
  <c r="AM60" i="4"/>
  <c r="BC53" i="4"/>
  <c r="BC63" i="4"/>
  <c r="BC61" i="4"/>
  <c r="BC59" i="4"/>
  <c r="BC57" i="4"/>
  <c r="BC55" i="4"/>
  <c r="BC64" i="4"/>
  <c r="BC54" i="4"/>
  <c r="BC60" i="4"/>
  <c r="BC56" i="4"/>
  <c r="BC62" i="4"/>
  <c r="BC52" i="4"/>
  <c r="M62" i="4"/>
  <c r="S36" i="4"/>
  <c r="AI36" i="4"/>
  <c r="AY36" i="4"/>
  <c r="K37" i="4"/>
  <c r="AA37" i="4"/>
  <c r="AQ37" i="4"/>
  <c r="Q53" i="4"/>
  <c r="Q64" i="4"/>
  <c r="Q62" i="4"/>
  <c r="Q60" i="4"/>
  <c r="Q58" i="4"/>
  <c r="Q56" i="4"/>
  <c r="Q54" i="4"/>
  <c r="AG53" i="4"/>
  <c r="AG64" i="4"/>
  <c r="AG62" i="4"/>
  <c r="AG60" i="4"/>
  <c r="AG58" i="4"/>
  <c r="AG56" i="4"/>
  <c r="AG54" i="4"/>
  <c r="AW53" i="4"/>
  <c r="AW64" i="4"/>
  <c r="AW62" i="4"/>
  <c r="AW60" i="4"/>
  <c r="AW58" i="4"/>
  <c r="AW56" i="4"/>
  <c r="AW54" i="4"/>
  <c r="K52" i="4"/>
  <c r="AA52" i="4"/>
  <c r="BA52" i="4"/>
  <c r="Y53" i="4"/>
  <c r="K55" i="4"/>
  <c r="AQ55" i="4"/>
  <c r="Y58" i="4"/>
  <c r="AG59" i="4"/>
  <c r="Y69" i="4"/>
  <c r="S63" i="4"/>
  <c r="S61" i="4"/>
  <c r="S59" i="4"/>
  <c r="S57" i="4"/>
  <c r="S55" i="4"/>
  <c r="AI63" i="4"/>
  <c r="AI61" i="4"/>
  <c r="AI59" i="4"/>
  <c r="AI57" i="4"/>
  <c r="AI55" i="4"/>
  <c r="AI52" i="4"/>
  <c r="AY63" i="4"/>
  <c r="AY61" i="4"/>
  <c r="AY59" i="4"/>
  <c r="AY57" i="4"/>
  <c r="AY55" i="4"/>
  <c r="AY52" i="4"/>
  <c r="S56" i="4"/>
  <c r="AY56" i="4"/>
  <c r="Q61" i="4"/>
  <c r="AW61" i="4"/>
  <c r="AI64" i="4"/>
  <c r="I80" i="4"/>
  <c r="I78" i="4"/>
  <c r="I79" i="4"/>
  <c r="I75" i="4"/>
  <c r="I73" i="4"/>
  <c r="I77" i="4"/>
  <c r="I68" i="4"/>
  <c r="I76" i="4"/>
  <c r="I74" i="4"/>
  <c r="I72" i="4"/>
  <c r="I70" i="4"/>
  <c r="Y80" i="4"/>
  <c r="Y78" i="4"/>
  <c r="Y79" i="4"/>
  <c r="Y75" i="4"/>
  <c r="Y73" i="4"/>
  <c r="Y68" i="4"/>
  <c r="Y77" i="4"/>
  <c r="Y76" i="4"/>
  <c r="Y74" i="4"/>
  <c r="Y72" i="4"/>
  <c r="Y70" i="4"/>
  <c r="AO80" i="4"/>
  <c r="AO78" i="4"/>
  <c r="AO79" i="4"/>
  <c r="AO77" i="4"/>
  <c r="AO75" i="4"/>
  <c r="AO73" i="4"/>
  <c r="AO68" i="4"/>
  <c r="AO76" i="4"/>
  <c r="AO74" i="4"/>
  <c r="AO72" i="4"/>
  <c r="AO70" i="4"/>
  <c r="S77" i="4"/>
  <c r="E64" i="4"/>
  <c r="E62" i="4"/>
  <c r="E60" i="4"/>
  <c r="E58" i="4"/>
  <c r="E56" i="4"/>
  <c r="E54" i="4"/>
  <c r="E53" i="4"/>
  <c r="U64" i="4"/>
  <c r="U62" i="4"/>
  <c r="U60" i="4"/>
  <c r="U58" i="4"/>
  <c r="U56" i="4"/>
  <c r="U54" i="4"/>
  <c r="U53" i="4"/>
  <c r="AK64" i="4"/>
  <c r="AK62" i="4"/>
  <c r="AK60" i="4"/>
  <c r="AK58" i="4"/>
  <c r="AK56" i="4"/>
  <c r="AK54" i="4"/>
  <c r="AK53" i="4"/>
  <c r="BA64" i="4"/>
  <c r="BA62" i="4"/>
  <c r="BA60" i="4"/>
  <c r="BA58" i="4"/>
  <c r="BA56" i="4"/>
  <c r="BA54" i="4"/>
  <c r="BA53" i="4"/>
  <c r="U61" i="4"/>
  <c r="BA61" i="4"/>
  <c r="AG63" i="4"/>
  <c r="AY68" i="4"/>
  <c r="S70" i="4"/>
  <c r="E63" i="4"/>
  <c r="AK63" i="4"/>
  <c r="I63" i="4"/>
  <c r="I61" i="4"/>
  <c r="I59" i="4"/>
  <c r="I57" i="4"/>
  <c r="I55" i="4"/>
  <c r="Y63" i="4"/>
  <c r="Y61" i="4"/>
  <c r="Y59" i="4"/>
  <c r="Y57" i="4"/>
  <c r="Y55" i="4"/>
  <c r="AO63" i="4"/>
  <c r="AO61" i="4"/>
  <c r="AO59" i="4"/>
  <c r="AO57" i="4"/>
  <c r="AO55" i="4"/>
  <c r="S52" i="4"/>
  <c r="I53" i="4"/>
  <c r="AO53" i="4"/>
  <c r="S54" i="4"/>
  <c r="AY54" i="4"/>
  <c r="E57" i="4"/>
  <c r="AK57" i="4"/>
  <c r="I58" i="4"/>
  <c r="AO58" i="4"/>
  <c r="Q59" i="4"/>
  <c r="AW59" i="4"/>
  <c r="AI62" i="4"/>
  <c r="O77" i="4"/>
  <c r="O80" i="4"/>
  <c r="O79" i="4"/>
  <c r="O78" i="4"/>
  <c r="O76" i="4"/>
  <c r="O74" i="4"/>
  <c r="O72" i="4"/>
  <c r="O70" i="4"/>
  <c r="O69" i="4"/>
  <c r="K64" i="4"/>
  <c r="K62" i="4"/>
  <c r="K60" i="4"/>
  <c r="K58" i="4"/>
  <c r="K56" i="4"/>
  <c r="K54" i="4"/>
  <c r="K53" i="4"/>
  <c r="AA64" i="4"/>
  <c r="AA62" i="4"/>
  <c r="AA60" i="4"/>
  <c r="AA58" i="4"/>
  <c r="AA56" i="4"/>
  <c r="AA54" i="4"/>
  <c r="AA53" i="4"/>
  <c r="AQ64" i="4"/>
  <c r="AQ62" i="4"/>
  <c r="AQ60" i="4"/>
  <c r="AQ58" i="4"/>
  <c r="AQ56" i="4"/>
  <c r="AQ54" i="4"/>
  <c r="AQ53" i="4"/>
  <c r="E52" i="4"/>
  <c r="U52" i="4"/>
  <c r="AO52" i="4"/>
  <c r="AI56" i="4"/>
  <c r="K57" i="4"/>
  <c r="AQ57" i="4"/>
  <c r="U59" i="4"/>
  <c r="BA59" i="4"/>
  <c r="Y60" i="4"/>
  <c r="AG61" i="4"/>
  <c r="S64" i="4"/>
  <c r="AY64" i="4"/>
  <c r="I69" i="4"/>
  <c r="I71" i="4"/>
  <c r="E61" i="4"/>
  <c r="S79" i="4"/>
  <c r="S80" i="4"/>
  <c r="S78" i="4"/>
  <c r="S76" i="4"/>
  <c r="S74" i="4"/>
  <c r="S72" i="4"/>
  <c r="S69" i="4"/>
  <c r="S75" i="4"/>
  <c r="S73" i="4"/>
  <c r="S71" i="4"/>
  <c r="AI79" i="4"/>
  <c r="AI77" i="4"/>
  <c r="AI80" i="4"/>
  <c r="AI78" i="4"/>
  <c r="AI76" i="4"/>
  <c r="AI74" i="4"/>
  <c r="AI72" i="4"/>
  <c r="AI69" i="4"/>
  <c r="AI75" i="4"/>
  <c r="AI73" i="4"/>
  <c r="AI71" i="4"/>
  <c r="AY79" i="4"/>
  <c r="AY77" i="4"/>
  <c r="AY80" i="4"/>
  <c r="AY78" i="4"/>
  <c r="AY76" i="4"/>
  <c r="AY74" i="4"/>
  <c r="AY72" i="4"/>
  <c r="AY69" i="4"/>
  <c r="AY75" i="4"/>
  <c r="AY73" i="4"/>
  <c r="AY71" i="4"/>
  <c r="AI70" i="4"/>
  <c r="K80" i="4"/>
  <c r="K78" i="4"/>
  <c r="K79" i="4"/>
  <c r="AA80" i="4"/>
  <c r="AA78" i="4"/>
  <c r="AA79" i="4"/>
  <c r="AQ80" i="4"/>
  <c r="AQ78" i="4"/>
  <c r="AQ79" i="4"/>
  <c r="AE69" i="4"/>
  <c r="AU69" i="4"/>
  <c r="Q71" i="4"/>
  <c r="AG71" i="4"/>
  <c r="AW71" i="4"/>
  <c r="Q73" i="4"/>
  <c r="AG73" i="4"/>
  <c r="AW73" i="4"/>
  <c r="Q75" i="4"/>
  <c r="AG75" i="4"/>
  <c r="AW75" i="4"/>
  <c r="W77" i="4"/>
  <c r="BC78" i="4"/>
  <c r="BC79" i="4"/>
  <c r="BC80" i="4"/>
  <c r="S84" i="4"/>
  <c r="S86" i="4"/>
  <c r="S85" i="4"/>
  <c r="S87" i="4"/>
  <c r="S95" i="4"/>
  <c r="S93" i="4"/>
  <c r="S91" i="4"/>
  <c r="S89" i="4"/>
  <c r="AI84" i="4"/>
  <c r="AI86" i="4"/>
  <c r="AI85" i="4"/>
  <c r="AI87" i="4"/>
  <c r="AI95" i="4"/>
  <c r="AI93" i="4"/>
  <c r="AI91" i="4"/>
  <c r="AI89" i="4"/>
  <c r="AY84" i="4"/>
  <c r="AY86" i="4"/>
  <c r="AY85" i="4"/>
  <c r="AY87" i="4"/>
  <c r="AY95" i="4"/>
  <c r="AY93" i="4"/>
  <c r="AY91" i="4"/>
  <c r="AY89" i="4"/>
  <c r="AQ89" i="4"/>
  <c r="AA91" i="4"/>
  <c r="K93" i="4"/>
  <c r="AY96" i="4"/>
  <c r="M80" i="4"/>
  <c r="M78" i="4"/>
  <c r="M79" i="4"/>
  <c r="M77" i="4"/>
  <c r="AC80" i="4"/>
  <c r="AC78" i="4"/>
  <c r="AC79" i="4"/>
  <c r="AC77" i="4"/>
  <c r="AS80" i="4"/>
  <c r="AS78" i="4"/>
  <c r="AS79" i="4"/>
  <c r="AS77" i="4"/>
  <c r="G68" i="4"/>
  <c r="W68" i="4"/>
  <c r="AM68" i="4"/>
  <c r="BC68" i="4"/>
  <c r="K70" i="4"/>
  <c r="AA70" i="4"/>
  <c r="AQ70" i="4"/>
  <c r="K72" i="4"/>
  <c r="AA72" i="4"/>
  <c r="AQ72" i="4"/>
  <c r="K74" i="4"/>
  <c r="AA74" i="4"/>
  <c r="AQ74" i="4"/>
  <c r="K76" i="4"/>
  <c r="AA76" i="4"/>
  <c r="AQ76" i="4"/>
  <c r="AQ91" i="4"/>
  <c r="AA93" i="4"/>
  <c r="M74" i="4"/>
  <c r="AC74" i="4"/>
  <c r="AS74" i="4"/>
  <c r="M76" i="4"/>
  <c r="AC76" i="4"/>
  <c r="AS76" i="4"/>
  <c r="G77" i="4"/>
  <c r="AA77" i="4"/>
  <c r="G78" i="4"/>
  <c r="G79" i="4"/>
  <c r="G80" i="4"/>
  <c r="S88" i="4"/>
  <c r="AQ93" i="4"/>
  <c r="Q79" i="4"/>
  <c r="Q80" i="4"/>
  <c r="Q78" i="4"/>
  <c r="AG79" i="4"/>
  <c r="AG77" i="4"/>
  <c r="AG80" i="4"/>
  <c r="AG78" i="4"/>
  <c r="AW79" i="4"/>
  <c r="AW77" i="4"/>
  <c r="AW80" i="4"/>
  <c r="AW78" i="4"/>
  <c r="K68" i="4"/>
  <c r="AA68" i="4"/>
  <c r="AQ68" i="4"/>
  <c r="AE70" i="4"/>
  <c r="AU70" i="4"/>
  <c r="G71" i="4"/>
  <c r="W71" i="4"/>
  <c r="AM71" i="4"/>
  <c r="BC71" i="4"/>
  <c r="AE72" i="4"/>
  <c r="AU72" i="4"/>
  <c r="G73" i="4"/>
  <c r="W73" i="4"/>
  <c r="AM73" i="4"/>
  <c r="BC73" i="4"/>
  <c r="AE74" i="4"/>
  <c r="AU74" i="4"/>
  <c r="AM75" i="4"/>
  <c r="AE76" i="4"/>
  <c r="AU76" i="4"/>
  <c r="AE77" i="4"/>
  <c r="AI88" i="4"/>
  <c r="S90" i="4"/>
  <c r="K85" i="4"/>
  <c r="K87" i="4"/>
  <c r="K84" i="4"/>
  <c r="K86" i="4"/>
  <c r="K96" i="4"/>
  <c r="K94" i="4"/>
  <c r="K92" i="4"/>
  <c r="K90" i="4"/>
  <c r="K88" i="4"/>
  <c r="AA85" i="4"/>
  <c r="AA87" i="4"/>
  <c r="AA84" i="4"/>
  <c r="AA86" i="4"/>
  <c r="AA96" i="4"/>
  <c r="AA94" i="4"/>
  <c r="AA92" i="4"/>
  <c r="AA90" i="4"/>
  <c r="AA88" i="4"/>
  <c r="AQ85" i="4"/>
  <c r="AQ87" i="4"/>
  <c r="AQ84" i="4"/>
  <c r="AQ86" i="4"/>
  <c r="AQ96" i="4"/>
  <c r="AQ94" i="4"/>
  <c r="AQ92" i="4"/>
  <c r="AQ90" i="4"/>
  <c r="AQ88" i="4"/>
  <c r="AE78" i="4"/>
  <c r="AE79" i="4"/>
  <c r="Q68" i="4"/>
  <c r="AG68" i="4"/>
  <c r="AW68" i="4"/>
  <c r="K69" i="4"/>
  <c r="AA69" i="4"/>
  <c r="AQ69" i="4"/>
  <c r="M71" i="4"/>
  <c r="AC71" i="4"/>
  <c r="AS71" i="4"/>
  <c r="M73" i="4"/>
  <c r="AC73" i="4"/>
  <c r="AS73" i="4"/>
  <c r="M75" i="4"/>
  <c r="AC75" i="4"/>
  <c r="AS75" i="4"/>
  <c r="Q77" i="4"/>
  <c r="AM78" i="4"/>
  <c r="AM79" i="4"/>
  <c r="K89" i="4"/>
  <c r="AY92" i="4"/>
  <c r="AI94" i="4"/>
  <c r="S96" i="4"/>
  <c r="O112" i="4"/>
  <c r="O110" i="4"/>
  <c r="O108" i="4"/>
  <c r="O106" i="4"/>
  <c r="O104" i="4"/>
  <c r="O101" i="4"/>
  <c r="O102" i="4"/>
  <c r="O107" i="4"/>
  <c r="O100" i="4"/>
  <c r="O103" i="4"/>
  <c r="O109" i="4"/>
  <c r="O111" i="4"/>
  <c r="O105" i="4"/>
  <c r="AE112" i="4"/>
  <c r="AE110" i="4"/>
  <c r="AE108" i="4"/>
  <c r="AE106" i="4"/>
  <c r="AE104" i="4"/>
  <c r="AE101" i="4"/>
  <c r="AE102" i="4"/>
  <c r="AE100" i="4"/>
  <c r="AE111" i="4"/>
  <c r="AE105" i="4"/>
  <c r="AE107" i="4"/>
  <c r="AE103" i="4"/>
  <c r="AE109" i="4"/>
  <c r="G111" i="4"/>
  <c r="G109" i="4"/>
  <c r="G107" i="4"/>
  <c r="G105" i="4"/>
  <c r="W111" i="4"/>
  <c r="W109" i="4"/>
  <c r="W107" i="4"/>
  <c r="W105" i="4"/>
  <c r="W101" i="4"/>
  <c r="AM111" i="4"/>
  <c r="AM109" i="4"/>
  <c r="AM107" i="4"/>
  <c r="AM105" i="4"/>
  <c r="AM101" i="4"/>
  <c r="BC111" i="4"/>
  <c r="BC109" i="4"/>
  <c r="BC107" i="4"/>
  <c r="BC105" i="4"/>
  <c r="BC101" i="4"/>
  <c r="W103" i="4"/>
  <c r="BC103" i="4"/>
  <c r="AM106" i="4"/>
  <c r="G108" i="4"/>
  <c r="G84" i="4"/>
  <c r="W84" i="4"/>
  <c r="AM84" i="4"/>
  <c r="BC84" i="4"/>
  <c r="Q85" i="4"/>
  <c r="AG85" i="4"/>
  <c r="AW85" i="4"/>
  <c r="M88" i="4"/>
  <c r="AC88" i="4"/>
  <c r="AS88" i="4"/>
  <c r="E89" i="4"/>
  <c r="U89" i="4"/>
  <c r="AK89" i="4"/>
  <c r="BA89" i="4"/>
  <c r="M90" i="4"/>
  <c r="AC90" i="4"/>
  <c r="AS90" i="4"/>
  <c r="E91" i="4"/>
  <c r="U91" i="4"/>
  <c r="AK91" i="4"/>
  <c r="BA91" i="4"/>
  <c r="M92" i="4"/>
  <c r="AC92" i="4"/>
  <c r="AS92" i="4"/>
  <c r="E93" i="4"/>
  <c r="U93" i="4"/>
  <c r="AK93" i="4"/>
  <c r="BA93" i="4"/>
  <c r="M94" i="4"/>
  <c r="AC94" i="4"/>
  <c r="AS94" i="4"/>
  <c r="E95" i="4"/>
  <c r="U95" i="4"/>
  <c r="AK95" i="4"/>
  <c r="BA95" i="4"/>
  <c r="M96" i="4"/>
  <c r="AC96" i="4"/>
  <c r="AS96" i="4"/>
  <c r="I102" i="4"/>
  <c r="I112" i="4"/>
  <c r="I110" i="4"/>
  <c r="I108" i="4"/>
  <c r="I106" i="4"/>
  <c r="I103" i="4"/>
  <c r="Y102" i="4"/>
  <c r="Y112" i="4"/>
  <c r="Y110" i="4"/>
  <c r="Y108" i="4"/>
  <c r="Y106" i="4"/>
  <c r="Y103" i="4"/>
  <c r="AO102" i="4"/>
  <c r="AO112" i="4"/>
  <c r="AO110" i="4"/>
  <c r="AO108" i="4"/>
  <c r="AO106" i="4"/>
  <c r="AO104" i="4"/>
  <c r="AO103" i="4"/>
  <c r="S100" i="4"/>
  <c r="AI100" i="4"/>
  <c r="AY100" i="4"/>
  <c r="AQ101" i="4"/>
  <c r="U102" i="4"/>
  <c r="BA102" i="4"/>
  <c r="AG104" i="4"/>
  <c r="Y107" i="4"/>
  <c r="BC108" i="4"/>
  <c r="AI109" i="4"/>
  <c r="W110" i="4"/>
  <c r="AU111" i="4"/>
  <c r="AG112" i="4"/>
  <c r="G116" i="4"/>
  <c r="AM116" i="4"/>
  <c r="W121" i="4"/>
  <c r="BC127" i="4"/>
  <c r="I84" i="4"/>
  <c r="Y84" i="4"/>
  <c r="AO84" i="4"/>
  <c r="M86" i="4"/>
  <c r="AC86" i="4"/>
  <c r="AS86" i="4"/>
  <c r="E87" i="4"/>
  <c r="U87" i="4"/>
  <c r="AK87" i="4"/>
  <c r="BA87" i="4"/>
  <c r="O88" i="4"/>
  <c r="AE88" i="4"/>
  <c r="AU88" i="4"/>
  <c r="G89" i="4"/>
  <c r="W89" i="4"/>
  <c r="AM89" i="4"/>
  <c r="BC89" i="4"/>
  <c r="O90" i="4"/>
  <c r="AE90" i="4"/>
  <c r="AU90" i="4"/>
  <c r="G91" i="4"/>
  <c r="W91" i="4"/>
  <c r="AM91" i="4"/>
  <c r="BC91" i="4"/>
  <c r="O92" i="4"/>
  <c r="AE92" i="4"/>
  <c r="AU92" i="4"/>
  <c r="G93" i="4"/>
  <c r="W93" i="4"/>
  <c r="AM93" i="4"/>
  <c r="BC93" i="4"/>
  <c r="O94" i="4"/>
  <c r="AE94" i="4"/>
  <c r="AU94" i="4"/>
  <c r="G95" i="4"/>
  <c r="W95" i="4"/>
  <c r="AM95" i="4"/>
  <c r="BC95" i="4"/>
  <c r="O96" i="4"/>
  <c r="AE96" i="4"/>
  <c r="AU96" i="4"/>
  <c r="K102" i="4"/>
  <c r="K103" i="4"/>
  <c r="K111" i="4"/>
  <c r="K109" i="4"/>
  <c r="K107" i="4"/>
  <c r="K105" i="4"/>
  <c r="AA102" i="4"/>
  <c r="AA103" i="4"/>
  <c r="AA111" i="4"/>
  <c r="AA109" i="4"/>
  <c r="AA107" i="4"/>
  <c r="AA105" i="4"/>
  <c r="AQ102" i="4"/>
  <c r="AQ103" i="4"/>
  <c r="AQ111" i="4"/>
  <c r="AQ109" i="4"/>
  <c r="AQ107" i="4"/>
  <c r="AQ105" i="4"/>
  <c r="E100" i="4"/>
  <c r="AK100" i="4"/>
  <c r="Q101" i="4"/>
  <c r="W102" i="4"/>
  <c r="BC102" i="4"/>
  <c r="G104" i="4"/>
  <c r="AM104" i="4"/>
  <c r="S105" i="4"/>
  <c r="G106" i="4"/>
  <c r="AW106" i="4"/>
  <c r="Q108" i="4"/>
  <c r="AO109" i="4"/>
  <c r="AA110" i="4"/>
  <c r="I111" i="4"/>
  <c r="AY111" i="4"/>
  <c r="AM112" i="4"/>
  <c r="M128" i="4"/>
  <c r="C128" i="4" s="1"/>
  <c r="M126" i="4"/>
  <c r="M124" i="4"/>
  <c r="M122" i="4"/>
  <c r="M120" i="4"/>
  <c r="M117" i="4"/>
  <c r="M119" i="4"/>
  <c r="M118" i="4"/>
  <c r="AC128" i="4"/>
  <c r="AC126" i="4"/>
  <c r="AC124" i="4"/>
  <c r="AC122" i="4"/>
  <c r="AC120" i="4"/>
  <c r="AC117" i="4"/>
  <c r="AC119" i="4"/>
  <c r="AC118" i="4"/>
  <c r="AS128" i="4"/>
  <c r="AS126" i="4"/>
  <c r="AS124" i="4"/>
  <c r="AS122" i="4"/>
  <c r="AS120" i="4"/>
  <c r="AS117" i="4"/>
  <c r="AS119" i="4"/>
  <c r="AS118" i="4"/>
  <c r="M116" i="4"/>
  <c r="AS116" i="4"/>
  <c r="AC121" i="4"/>
  <c r="E85" i="4"/>
  <c r="U85" i="4"/>
  <c r="AK85" i="4"/>
  <c r="BA85" i="4"/>
  <c r="O86" i="4"/>
  <c r="AE86" i="4"/>
  <c r="AU86" i="4"/>
  <c r="G87" i="4"/>
  <c r="W87" i="4"/>
  <c r="AM87" i="4"/>
  <c r="BC87" i="4"/>
  <c r="Q88" i="4"/>
  <c r="AG88" i="4"/>
  <c r="AW88" i="4"/>
  <c r="I89" i="4"/>
  <c r="Y89" i="4"/>
  <c r="AO89" i="4"/>
  <c r="Q90" i="4"/>
  <c r="AG90" i="4"/>
  <c r="AW90" i="4"/>
  <c r="I91" i="4"/>
  <c r="Y91" i="4"/>
  <c r="AO91" i="4"/>
  <c r="Q92" i="4"/>
  <c r="AG92" i="4"/>
  <c r="AW92" i="4"/>
  <c r="I93" i="4"/>
  <c r="Y93" i="4"/>
  <c r="AO93" i="4"/>
  <c r="Q94" i="4"/>
  <c r="AG94" i="4"/>
  <c r="AW94" i="4"/>
  <c r="I95" i="4"/>
  <c r="Y95" i="4"/>
  <c r="AO95" i="4"/>
  <c r="Q96" i="4"/>
  <c r="AG96" i="4"/>
  <c r="AW96" i="4"/>
  <c r="M112" i="4"/>
  <c r="M110" i="4"/>
  <c r="M108" i="4"/>
  <c r="M106" i="4"/>
  <c r="M104" i="4"/>
  <c r="M111" i="4"/>
  <c r="M109" i="4"/>
  <c r="M107" i="4"/>
  <c r="M105" i="4"/>
  <c r="AC112" i="4"/>
  <c r="AC110" i="4"/>
  <c r="AC108" i="4"/>
  <c r="AC106" i="4"/>
  <c r="AC104" i="4"/>
  <c r="AC111" i="4"/>
  <c r="AC109" i="4"/>
  <c r="AC107" i="4"/>
  <c r="AC105" i="4"/>
  <c r="AS112" i="4"/>
  <c r="AS110" i="4"/>
  <c r="AS108" i="4"/>
  <c r="AS106" i="4"/>
  <c r="AS104" i="4"/>
  <c r="AS111" i="4"/>
  <c r="AS109" i="4"/>
  <c r="AS107" i="4"/>
  <c r="AS105" i="4"/>
  <c r="G100" i="4"/>
  <c r="W100" i="4"/>
  <c r="AM100" i="4"/>
  <c r="BC100" i="4"/>
  <c r="S101" i="4"/>
  <c r="AY101" i="4"/>
  <c r="AC102" i="4"/>
  <c r="AG103" i="4"/>
  <c r="I104" i="4"/>
  <c r="AQ104" i="4"/>
  <c r="Y105" i="4"/>
  <c r="K106" i="4"/>
  <c r="BC106" i="4"/>
  <c r="AI107" i="4"/>
  <c r="W108" i="4"/>
  <c r="AQ112" i="4"/>
  <c r="W117" i="4"/>
  <c r="BC117" i="4"/>
  <c r="AS123" i="4"/>
  <c r="M125" i="4"/>
  <c r="BC125" i="4"/>
  <c r="W127" i="4"/>
  <c r="AU112" i="4"/>
  <c r="AU110" i="4"/>
  <c r="AU108" i="4"/>
  <c r="AU106" i="4"/>
  <c r="AU104" i="4"/>
  <c r="AU101" i="4"/>
  <c r="AU102" i="4"/>
  <c r="I100" i="4"/>
  <c r="Y100" i="4"/>
  <c r="AO100" i="4"/>
  <c r="Y101" i="4"/>
  <c r="AI102" i="4"/>
  <c r="G103" i="4"/>
  <c r="AM103" i="4"/>
  <c r="K104" i="4"/>
  <c r="AW104" i="4"/>
  <c r="AO107" i="4"/>
  <c r="AA108" i="4"/>
  <c r="I109" i="4"/>
  <c r="AM110" i="4"/>
  <c r="G112" i="4"/>
  <c r="AM121" i="4"/>
  <c r="G123" i="4"/>
  <c r="AC127" i="4"/>
  <c r="O84" i="4"/>
  <c r="AE84" i="4"/>
  <c r="AU84" i="4"/>
  <c r="I85" i="4"/>
  <c r="Y85" i="4"/>
  <c r="AO85" i="4"/>
  <c r="E88" i="4"/>
  <c r="U88" i="4"/>
  <c r="AK88" i="4"/>
  <c r="BA88" i="4"/>
  <c r="M89" i="4"/>
  <c r="AC89" i="4"/>
  <c r="AS89" i="4"/>
  <c r="E90" i="4"/>
  <c r="C90" i="4" s="1"/>
  <c r="U90" i="4"/>
  <c r="AK90" i="4"/>
  <c r="BA90" i="4"/>
  <c r="M91" i="4"/>
  <c r="AC91" i="4"/>
  <c r="AS91" i="4"/>
  <c r="E92" i="4"/>
  <c r="U92" i="4"/>
  <c r="AK92" i="4"/>
  <c r="BA92" i="4"/>
  <c r="M93" i="4"/>
  <c r="AC93" i="4"/>
  <c r="AS93" i="4"/>
  <c r="E94" i="4"/>
  <c r="U94" i="4"/>
  <c r="AK94" i="4"/>
  <c r="BA94" i="4"/>
  <c r="M95" i="4"/>
  <c r="AC95" i="4"/>
  <c r="AS95" i="4"/>
  <c r="E96" i="4"/>
  <c r="U96" i="4"/>
  <c r="AK96" i="4"/>
  <c r="BA96" i="4"/>
  <c r="Q111" i="4"/>
  <c r="Q109" i="4"/>
  <c r="Q107" i="4"/>
  <c r="Q105" i="4"/>
  <c r="Q102" i="4"/>
  <c r="AG101" i="4"/>
  <c r="AG111" i="4"/>
  <c r="AG109" i="4"/>
  <c r="AG107" i="4"/>
  <c r="AG105" i="4"/>
  <c r="AG102" i="4"/>
  <c r="AW101" i="4"/>
  <c r="AW111" i="4"/>
  <c r="AW109" i="4"/>
  <c r="AW107" i="4"/>
  <c r="AW105" i="4"/>
  <c r="AW102" i="4"/>
  <c r="K100" i="4"/>
  <c r="AA100" i="4"/>
  <c r="AQ100" i="4"/>
  <c r="E101" i="4"/>
  <c r="AA101" i="4"/>
  <c r="M103" i="4"/>
  <c r="AS103" i="4"/>
  <c r="Q104" i="4"/>
  <c r="BC104" i="4"/>
  <c r="W106" i="4"/>
  <c r="AU107" i="4"/>
  <c r="AG108" i="4"/>
  <c r="AQ110" i="4"/>
  <c r="Y111" i="4"/>
  <c r="K112" i="4"/>
  <c r="BC112" i="4"/>
  <c r="S119" i="4"/>
  <c r="S127" i="4"/>
  <c r="S125" i="4"/>
  <c r="S123" i="4"/>
  <c r="S121" i="4"/>
  <c r="S116" i="4"/>
  <c r="S118" i="4"/>
  <c r="S128" i="4"/>
  <c r="S126" i="4"/>
  <c r="S124" i="4"/>
  <c r="S122" i="4"/>
  <c r="S120" i="4"/>
  <c r="S117" i="4"/>
  <c r="AI119" i="4"/>
  <c r="AI127" i="4"/>
  <c r="AI125" i="4"/>
  <c r="AI123" i="4"/>
  <c r="AI121" i="4"/>
  <c r="AI116" i="4"/>
  <c r="AI118" i="4"/>
  <c r="AI128" i="4"/>
  <c r="AI126" i="4"/>
  <c r="AI124" i="4"/>
  <c r="AI122" i="4"/>
  <c r="AI120" i="4"/>
  <c r="AI117" i="4"/>
  <c r="AY119" i="4"/>
  <c r="AY127" i="4"/>
  <c r="AY125" i="4"/>
  <c r="AY123" i="4"/>
  <c r="AY121" i="4"/>
  <c r="AY116" i="4"/>
  <c r="AY118" i="4"/>
  <c r="AY128" i="4"/>
  <c r="AY126" i="4"/>
  <c r="AY124" i="4"/>
  <c r="AY122" i="4"/>
  <c r="AY120" i="4"/>
  <c r="AY117" i="4"/>
  <c r="W116" i="4"/>
  <c r="BC116" i="4"/>
  <c r="AS121" i="4"/>
  <c r="M123" i="4"/>
  <c r="Q84" i="4"/>
  <c r="AG84" i="4"/>
  <c r="AW84" i="4"/>
  <c r="M87" i="4"/>
  <c r="AC87" i="4"/>
  <c r="AS87" i="4"/>
  <c r="G88" i="4"/>
  <c r="W88" i="4"/>
  <c r="AM88" i="4"/>
  <c r="BC88" i="4"/>
  <c r="O89" i="4"/>
  <c r="AE89" i="4"/>
  <c r="AU89" i="4"/>
  <c r="G90" i="4"/>
  <c r="W90" i="4"/>
  <c r="AM90" i="4"/>
  <c r="BC90" i="4"/>
  <c r="O91" i="4"/>
  <c r="AE91" i="4"/>
  <c r="AU91" i="4"/>
  <c r="G92" i="4"/>
  <c r="W92" i="4"/>
  <c r="AM92" i="4"/>
  <c r="BC92" i="4"/>
  <c r="O93" i="4"/>
  <c r="AE93" i="4"/>
  <c r="AU93" i="4"/>
  <c r="G94" i="4"/>
  <c r="W94" i="4"/>
  <c r="AM94" i="4"/>
  <c r="BC94" i="4"/>
  <c r="O95" i="4"/>
  <c r="AE95" i="4"/>
  <c r="AU95" i="4"/>
  <c r="G96" i="4"/>
  <c r="W96" i="4"/>
  <c r="AM96" i="4"/>
  <c r="BC96" i="4"/>
  <c r="S103" i="4"/>
  <c r="S112" i="4"/>
  <c r="S110" i="4"/>
  <c r="S108" i="4"/>
  <c r="S106" i="4"/>
  <c r="S104" i="4"/>
  <c r="AI103" i="4"/>
  <c r="AI112" i="4"/>
  <c r="AI110" i="4"/>
  <c r="AI108" i="4"/>
  <c r="AI106" i="4"/>
  <c r="AI104" i="4"/>
  <c r="AY103" i="4"/>
  <c r="AY112" i="4"/>
  <c r="AY110" i="4"/>
  <c r="AY108" i="4"/>
  <c r="AY106" i="4"/>
  <c r="AY104" i="4"/>
  <c r="M100" i="4"/>
  <c r="AC100" i="4"/>
  <c r="AS100" i="4"/>
  <c r="G101" i="4"/>
  <c r="AC101" i="4"/>
  <c r="G102" i="4"/>
  <c r="AM102" i="4"/>
  <c r="AU103" i="4"/>
  <c r="W104" i="4"/>
  <c r="AO105" i="4"/>
  <c r="AA106" i="4"/>
  <c r="I107" i="4"/>
  <c r="AY107" i="4"/>
  <c r="AM108" i="4"/>
  <c r="S109" i="4"/>
  <c r="G110" i="4"/>
  <c r="AW110" i="4"/>
  <c r="Q112" i="4"/>
  <c r="AC116" i="4"/>
  <c r="AC125" i="4"/>
  <c r="I88" i="4"/>
  <c r="Y88" i="4"/>
  <c r="AO88" i="4"/>
  <c r="Q89" i="4"/>
  <c r="AG89" i="4"/>
  <c r="AW89" i="4"/>
  <c r="I90" i="4"/>
  <c r="Y90" i="4"/>
  <c r="AO90" i="4"/>
  <c r="Q91" i="4"/>
  <c r="AG91" i="4"/>
  <c r="AW91" i="4"/>
  <c r="I92" i="4"/>
  <c r="Y92" i="4"/>
  <c r="AO92" i="4"/>
  <c r="Q93" i="4"/>
  <c r="AG93" i="4"/>
  <c r="AW93" i="4"/>
  <c r="I94" i="4"/>
  <c r="Y94" i="4"/>
  <c r="AO94" i="4"/>
  <c r="E103" i="4"/>
  <c r="E111" i="4"/>
  <c r="E109" i="4"/>
  <c r="E107" i="4"/>
  <c r="E105" i="4"/>
  <c r="E112" i="4"/>
  <c r="E110" i="4"/>
  <c r="E108" i="4"/>
  <c r="E106" i="4"/>
  <c r="E104" i="4"/>
  <c r="U103" i="4"/>
  <c r="U111" i="4"/>
  <c r="U109" i="4"/>
  <c r="U107" i="4"/>
  <c r="U105" i="4"/>
  <c r="U112" i="4"/>
  <c r="U110" i="4"/>
  <c r="U108" i="4"/>
  <c r="U106" i="4"/>
  <c r="U104" i="4"/>
  <c r="U101" i="4"/>
  <c r="AK103" i="4"/>
  <c r="AK111" i="4"/>
  <c r="AK109" i="4"/>
  <c r="AK107" i="4"/>
  <c r="AK105" i="4"/>
  <c r="AK112" i="4"/>
  <c r="AK110" i="4"/>
  <c r="AK108" i="4"/>
  <c r="AK106" i="4"/>
  <c r="AK104" i="4"/>
  <c r="AK101" i="4"/>
  <c r="BA103" i="4"/>
  <c r="BA111" i="4"/>
  <c r="BA109" i="4"/>
  <c r="BA107" i="4"/>
  <c r="BA105" i="4"/>
  <c r="BA112" i="4"/>
  <c r="BA110" i="4"/>
  <c r="BA108" i="4"/>
  <c r="BA106" i="4"/>
  <c r="BA104" i="4"/>
  <c r="BA101" i="4"/>
  <c r="AU100" i="4"/>
  <c r="I101" i="4"/>
  <c r="AI101" i="4"/>
  <c r="M102" i="4"/>
  <c r="AS102" i="4"/>
  <c r="Q103" i="4"/>
  <c r="AW103" i="4"/>
  <c r="Y104" i="4"/>
  <c r="AU105" i="4"/>
  <c r="AG106" i="4"/>
  <c r="AQ108" i="4"/>
  <c r="Y109" i="4"/>
  <c r="K110" i="4"/>
  <c r="BC110" i="4"/>
  <c r="AI111" i="4"/>
  <c r="W112" i="4"/>
  <c r="G118" i="4"/>
  <c r="G128" i="4"/>
  <c r="G126" i="4"/>
  <c r="C126" i="4" s="1"/>
  <c r="G124" i="4"/>
  <c r="C124" i="4" s="1"/>
  <c r="G122" i="4"/>
  <c r="C122" i="4" s="1"/>
  <c r="G120" i="4"/>
  <c r="G119" i="4"/>
  <c r="W118" i="4"/>
  <c r="W128" i="4"/>
  <c r="W126" i="4"/>
  <c r="W124" i="4"/>
  <c r="W122" i="4"/>
  <c r="W120" i="4"/>
  <c r="W119" i="4"/>
  <c r="AM118" i="4"/>
  <c r="AM128" i="4"/>
  <c r="AM126" i="4"/>
  <c r="AM124" i="4"/>
  <c r="AM122" i="4"/>
  <c r="AM120" i="4"/>
  <c r="AM119" i="4"/>
  <c r="BC118" i="4"/>
  <c r="BC128" i="4"/>
  <c r="BC126" i="4"/>
  <c r="BC124" i="4"/>
  <c r="BC122" i="4"/>
  <c r="BC120" i="4"/>
  <c r="BC119" i="4"/>
  <c r="G117" i="4"/>
  <c r="AM117" i="4"/>
  <c r="M121" i="4"/>
  <c r="BC121" i="4"/>
  <c r="W123" i="4"/>
  <c r="AS127" i="4"/>
  <c r="I116" i="4"/>
  <c r="Y116" i="4"/>
  <c r="AO116" i="4"/>
  <c r="Q120" i="4"/>
  <c r="AG120" i="4"/>
  <c r="AW120" i="4"/>
  <c r="I121" i="4"/>
  <c r="Y121" i="4"/>
  <c r="AO121" i="4"/>
  <c r="Q122" i="4"/>
  <c r="AG122" i="4"/>
  <c r="AW122" i="4"/>
  <c r="I123" i="4"/>
  <c r="Y123" i="4"/>
  <c r="AO123" i="4"/>
  <c r="Q124" i="4"/>
  <c r="AG124" i="4"/>
  <c r="AW124" i="4"/>
  <c r="I125" i="4"/>
  <c r="Y125" i="4"/>
  <c r="AO125" i="4"/>
  <c r="Q126" i="4"/>
  <c r="AG126" i="4"/>
  <c r="AW126" i="4"/>
  <c r="I127" i="4"/>
  <c r="Y127" i="4"/>
  <c r="AO127" i="4"/>
  <c r="C127" i="4" s="1"/>
  <c r="Q128" i="4"/>
  <c r="AG128" i="4"/>
  <c r="AW128" i="4"/>
  <c r="K116" i="4"/>
  <c r="AA116" i="4"/>
  <c r="AQ116" i="4"/>
  <c r="E117" i="4"/>
  <c r="U117" i="4"/>
  <c r="AK117" i="4"/>
  <c r="BA117" i="4"/>
  <c r="O118" i="4"/>
  <c r="AE118" i="4"/>
  <c r="AU118" i="4"/>
  <c r="I119" i="4"/>
  <c r="Y119" i="4"/>
  <c r="AO119" i="4"/>
  <c r="K121" i="4"/>
  <c r="AA121" i="4"/>
  <c r="AQ121" i="4"/>
  <c r="K123" i="4"/>
  <c r="AA123" i="4"/>
  <c r="AQ123" i="4"/>
  <c r="K125" i="4"/>
  <c r="AA125" i="4"/>
  <c r="AQ125" i="4"/>
  <c r="K127" i="4"/>
  <c r="AA127" i="4"/>
  <c r="AQ127" i="4"/>
  <c r="O121" i="4"/>
  <c r="AE121" i="4"/>
  <c r="AU121" i="4"/>
  <c r="O123" i="4"/>
  <c r="AE123" i="4"/>
  <c r="AU123" i="4"/>
  <c r="O125" i="4"/>
  <c r="AE125" i="4"/>
  <c r="AU125" i="4"/>
  <c r="O127" i="4"/>
  <c r="AE127" i="4"/>
  <c r="AU127" i="4"/>
  <c r="K120" i="4"/>
  <c r="AA120" i="4"/>
  <c r="AQ120" i="4"/>
  <c r="K122" i="4"/>
  <c r="AA122" i="4"/>
  <c r="AQ122" i="4"/>
  <c r="K124" i="4"/>
  <c r="AA124" i="4"/>
  <c r="AQ124" i="4"/>
  <c r="K126" i="4"/>
  <c r="AA126" i="4"/>
  <c r="AQ126" i="4"/>
  <c r="E116" i="4"/>
  <c r="U116" i="4"/>
  <c r="AK116" i="4"/>
  <c r="BA116" i="4"/>
  <c r="AU117" i="4"/>
  <c r="E121" i="4"/>
  <c r="U121" i="4"/>
  <c r="AK121" i="4"/>
  <c r="BA121" i="4"/>
  <c r="E123" i="4"/>
  <c r="U123" i="4"/>
  <c r="AK123" i="4"/>
  <c r="BA123" i="4"/>
  <c r="E125" i="4"/>
  <c r="U125" i="4"/>
  <c r="AK125" i="4"/>
  <c r="BA125" i="4"/>
  <c r="C44" i="4" l="1"/>
  <c r="C47" i="4"/>
  <c r="C73" i="4"/>
  <c r="C80" i="4"/>
  <c r="C24" i="4"/>
  <c r="C31" i="4"/>
  <c r="C5" i="4"/>
  <c r="C13" i="4"/>
  <c r="C57" i="4"/>
  <c r="C108" i="4"/>
  <c r="C92" i="4"/>
  <c r="C53" i="4"/>
  <c r="C46" i="4"/>
  <c r="C37" i="4"/>
  <c r="C75" i="4"/>
  <c r="C77" i="4"/>
  <c r="C26" i="4"/>
  <c r="C30" i="4"/>
  <c r="C8" i="4"/>
  <c r="C28" i="4"/>
  <c r="C14" i="4"/>
  <c r="C94" i="4"/>
  <c r="C79" i="4"/>
  <c r="C112" i="4"/>
  <c r="C96" i="4"/>
  <c r="C56" i="4"/>
  <c r="C21" i="4"/>
  <c r="C9" i="4"/>
  <c r="C12" i="4"/>
  <c r="C123" i="4"/>
  <c r="C105" i="4"/>
  <c r="C89" i="4"/>
  <c r="C58" i="4"/>
  <c r="C39" i="4"/>
  <c r="C72" i="4"/>
  <c r="C23" i="4"/>
  <c r="C15" i="4"/>
  <c r="C107" i="4"/>
  <c r="C87" i="4"/>
  <c r="C91" i="4"/>
  <c r="C61" i="4"/>
  <c r="C60" i="4"/>
  <c r="C41" i="4"/>
  <c r="C74" i="4"/>
  <c r="C25" i="4"/>
  <c r="C3" i="4"/>
  <c r="C7" i="4"/>
  <c r="C110" i="4"/>
  <c r="C125" i="4"/>
  <c r="C109" i="4"/>
  <c r="C93" i="4"/>
  <c r="C63" i="4"/>
  <c r="C62" i="4"/>
  <c r="C40" i="4"/>
  <c r="C43" i="4"/>
  <c r="C76" i="4"/>
  <c r="C27" i="4"/>
  <c r="C10" i="4"/>
  <c r="C6" i="4"/>
  <c r="C106" i="4"/>
  <c r="C121" i="4"/>
  <c r="C111" i="4"/>
  <c r="C95" i="4"/>
  <c r="C64" i="4"/>
  <c r="C42" i="4"/>
  <c r="C45" i="4"/>
  <c r="C71" i="4"/>
  <c r="C78" i="4"/>
  <c r="C22" i="4"/>
  <c r="C29" i="4"/>
  <c r="C4" i="4"/>
</calcChain>
</file>

<file path=xl/sharedStrings.xml><?xml version="1.0" encoding="utf-8"?>
<sst xmlns="http://schemas.openxmlformats.org/spreadsheetml/2006/main" count="1644" uniqueCount="79">
  <si>
    <t>interessante</t>
  </si>
  <si>
    <t>estibordo</t>
  </si>
  <si>
    <t>discoteca</t>
  </si>
  <si>
    <t>tubarao</t>
  </si>
  <si>
    <t>horario</t>
  </si>
  <si>
    <t>habitat</t>
  </si>
  <si>
    <t>tutor</t>
  </si>
  <si>
    <t>molusco</t>
  </si>
  <si>
    <t>lebre</t>
  </si>
  <si>
    <t>set</t>
  </si>
  <si>
    <t>iab</t>
  </si>
  <si>
    <t>pos</t>
  </si>
  <si>
    <t>ima</t>
  </si>
  <si>
    <t>psd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</si>
  <si>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</si>
  <si>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</si>
  <si>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</si>
  <si>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</si>
  <si>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</si>
  <si>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</si>
  <si>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</si>
  <si>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</si>
  <si>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</si>
  <si>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</si>
  <si>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</si>
  <si>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</si>
  <si>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</si>
  <si>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</si>
  <si>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</si>
  <si>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</si>
  <si>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</si>
  <si>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</si>
  <si>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</si>
  <si>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</si>
  <si>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</si>
  <si>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</si>
  <si>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</si>
  <si>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</si>
  <si>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</si>
  <si>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</si>
  <si>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#</t>
  </si>
  <si>
    <t>l</t>
  </si>
  <si>
    <t>i</t>
  </si>
  <si>
    <t>n</t>
  </si>
  <si>
    <t>t</t>
  </si>
  <si>
    <t>e</t>
  </si>
  <si>
    <t>r</t>
  </si>
  <si>
    <t>s</t>
  </si>
  <si>
    <t>a</t>
  </si>
  <si>
    <t>b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</si>
  <si>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</si>
  <si>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</si>
  <si>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</si>
  <si>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</si>
  <si>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</si>
  <si>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</si>
  <si>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</si>
  <si>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</si>
  <si>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</si>
  <si>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</si>
  <si>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</si>
  <si>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</si>
  <si>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</si>
  <si>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o</t>
  </si>
  <si>
    <t>d</t>
  </si>
  <si>
    <t>c</t>
  </si>
  <si>
    <t>h</t>
  </si>
  <si>
    <t>u</t>
  </si>
  <si>
    <t>-</t>
  </si>
  <si>
    <t>---</t>
  </si>
  <si>
    <t>interesse</t>
  </si>
  <si>
    <t xml:space="preserve"> 408966 tentativas</t>
  </si>
  <si>
    <t>1436 tentativas</t>
  </si>
  <si>
    <t>interesse estibordo discoteca borboleta tubarao horario habitat tutor lebre molusco set pos psd ima iab</t>
  </si>
  <si>
    <t>interesse estibordo habitat molusco borboleta tubarao tutor lebre psd discoteca ima horario set pos iab</t>
  </si>
  <si>
    <t>m</t>
  </si>
  <si>
    <t>p</t>
  </si>
  <si>
    <t>g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</si>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</sst>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0000"/>
  </numFmts>
  <fonts count="7" x14ac:knownFonts="1">
    <font>
      <sz val="11"/>
      <color rgb="FF000000"/>
      <name val="Calibri"/>
      <family val="2"/>
      <charset val="1"/>
    </font>
    <font>
      <sz val="11"/>
      <color rgb="FF000000"/>
      <name val="Courier New"/>
      <family val="3"/>
      <charset val="1"/>
    </font>
    <font>
      <b/>
      <sz val="11"/>
      <color rgb="FF000000"/>
      <name val="Courier New"/>
      <family val="3"/>
      <charset val="1"/>
    </font>
    <font>
      <i/>
      <sz val="11"/>
      <color rgb="FF000000"/>
      <name val="Courier New"/>
      <family val="3"/>
      <charset val="1"/>
    </font>
    <font>
      <sz val="11"/>
      <name val="Courier New"/>
      <family val="3"/>
      <charset val="1"/>
    </font>
    <font>
      <sz val="11"/>
      <color rgb="FFEF413D"/>
      <name val="Courier New"/>
      <family val="3"/>
      <charset val="1"/>
    </font>
    <font>
      <sz val="10"/>
      <color rgb="FF000000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 applyBorder="1" applyAlignment="1">
      <alignment horizontal="left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right"/>
    </xf>
    <xf numFmtId="4" fontId="1" fillId="0" borderId="0" xfId="0" applyNumberFormat="1" applyFont="1"/>
    <xf numFmtId="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" fontId="1" fillId="0" borderId="0" xfId="0" applyNumberFormat="1" applyFont="1"/>
    <xf numFmtId="1" fontId="1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1" fontId="4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164" fontId="1" fillId="0" borderId="0" xfId="0" applyNumberFormat="1" applyFont="1"/>
    <xf numFmtId="165" fontId="1" fillId="0" borderId="0" xfId="0" applyNumberFormat="1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1" fillId="0" borderId="0" xfId="0" applyFont="1" applyAlignment="1">
      <alignment horizontal="right" wrapText="1"/>
    </xf>
    <xf numFmtId="0" fontId="1" fillId="0" borderId="0" xfId="0" applyFont="1" applyAlignment="1">
      <alignment horizontal="left" wrapText="1"/>
    </xf>
    <xf numFmtId="0" fontId="6" fillId="0" borderId="0" xfId="0" applyFont="1" applyAlignment="1">
      <alignment vertical="center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F413D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16"/>
  <sheetViews>
    <sheetView showZeros="0" zoomScale="75" zoomScaleNormal="75" workbookViewId="0"/>
  </sheetViews>
  <sheetFormatPr defaultRowHeight="15" x14ac:dyDescent="0.25"/>
  <cols>
    <col min="1" max="14" width="2.5703125" style="2" customWidth="1"/>
    <col min="15" max="15" width="3.85546875" style="2" customWidth="1"/>
    <col min="16" max="19" width="2.5703125" style="2" customWidth="1"/>
    <col min="20" max="20" width="3.85546875" style="2" customWidth="1"/>
    <col min="21" max="26" width="2.5703125" style="2" customWidth="1"/>
    <col min="27" max="27" width="17.42578125" style="2" customWidth="1"/>
    <col min="28" max="28" width="3.85546875" style="2" customWidth="1"/>
    <col min="29" max="37" width="2.5703125" style="2" customWidth="1"/>
    <col min="38" max="1025" width="9.140625" style="2" customWidth="1"/>
  </cols>
  <sheetData>
    <row r="1" spans="1:41" ht="15.75" x14ac:dyDescent="0.3">
      <c r="A1" s="3">
        <f t="shared" ref="A1:Z1" si="0">SUM(A3:A16)</f>
        <v>9</v>
      </c>
      <c r="B1" s="3">
        <f t="shared" si="0"/>
        <v>5</v>
      </c>
      <c r="C1" s="3">
        <f t="shared" si="0"/>
        <v>3</v>
      </c>
      <c r="D1" s="3">
        <f t="shared" si="0"/>
        <v>3</v>
      </c>
      <c r="E1" s="3">
        <f t="shared" si="0"/>
        <v>8</v>
      </c>
      <c r="F1" s="3">
        <f t="shared" si="0"/>
        <v>0</v>
      </c>
      <c r="G1" s="3">
        <f t="shared" si="0"/>
        <v>0</v>
      </c>
      <c r="H1" s="3">
        <f t="shared" si="0"/>
        <v>2</v>
      </c>
      <c r="I1" s="3">
        <f t="shared" si="0"/>
        <v>7</v>
      </c>
      <c r="J1" s="3">
        <f t="shared" si="0"/>
        <v>0</v>
      </c>
      <c r="K1" s="3">
        <f t="shared" si="0"/>
        <v>0</v>
      </c>
      <c r="L1" s="3">
        <f t="shared" si="0"/>
        <v>2</v>
      </c>
      <c r="M1" s="3">
        <f t="shared" si="0"/>
        <v>2</v>
      </c>
      <c r="N1" s="3">
        <f t="shared" si="0"/>
        <v>2</v>
      </c>
      <c r="O1" s="3">
        <f t="shared" si="0"/>
        <v>10</v>
      </c>
      <c r="P1" s="3">
        <f t="shared" si="0"/>
        <v>2</v>
      </c>
      <c r="Q1" s="3">
        <f t="shared" si="0"/>
        <v>0</v>
      </c>
      <c r="R1" s="3">
        <f t="shared" si="0"/>
        <v>7</v>
      </c>
      <c r="S1" s="3">
        <f t="shared" si="0"/>
        <v>8</v>
      </c>
      <c r="T1" s="3">
        <f t="shared" si="0"/>
        <v>10</v>
      </c>
      <c r="U1" s="3">
        <f t="shared" si="0"/>
        <v>3</v>
      </c>
      <c r="V1" s="3">
        <f t="shared" si="0"/>
        <v>0</v>
      </c>
      <c r="W1" s="3">
        <f t="shared" si="0"/>
        <v>0</v>
      </c>
      <c r="X1" s="3">
        <f t="shared" si="0"/>
        <v>0</v>
      </c>
      <c r="Y1" s="3">
        <f t="shared" si="0"/>
        <v>0</v>
      </c>
      <c r="Z1" s="3">
        <f t="shared" si="0"/>
        <v>0</v>
      </c>
    </row>
    <row r="3" spans="1:41" ht="15.75" x14ac:dyDescent="0.3">
      <c r="A3" s="2">
        <v>1</v>
      </c>
      <c r="E3" s="2">
        <v>3</v>
      </c>
      <c r="I3" s="2">
        <v>1</v>
      </c>
      <c r="N3" s="2">
        <v>2</v>
      </c>
      <c r="R3" s="2">
        <v>1</v>
      </c>
      <c r="S3" s="2">
        <v>2</v>
      </c>
      <c r="T3" s="2">
        <v>2</v>
      </c>
      <c r="AA3" s="4" t="s">
        <v>0</v>
      </c>
      <c r="AB3" s="2">
        <f t="shared" ref="AB3:AB16" si="1">A3*A$1+B3*B$1+C3*C$1+D3*D$1+E3*E$1+F3*F$1+G3*G$1+H3*H$1+I3*I$1+J3*J$1+K3*K$1+L3*L$1+M3*M$1+N3*N$1+O3*O$1+P3*P$1+Q3*Q$1+R3*R$1+S3*S$1+T3*T$1+U3*U$1+V3*V$1+W3*W$1+X3*X$1+Y3*Y$1+X3*Z$1</f>
        <v>87</v>
      </c>
    </row>
    <row r="4" spans="1:41" ht="15.75" x14ac:dyDescent="0.3">
      <c r="B4" s="2">
        <v>1</v>
      </c>
      <c r="D4" s="2">
        <v>1</v>
      </c>
      <c r="E4" s="2">
        <v>1</v>
      </c>
      <c r="I4" s="2">
        <v>1</v>
      </c>
      <c r="O4" s="2">
        <v>2</v>
      </c>
      <c r="R4" s="2">
        <v>1</v>
      </c>
      <c r="S4" s="2">
        <v>1</v>
      </c>
      <c r="T4" s="2">
        <v>1</v>
      </c>
      <c r="AA4" s="4" t="s">
        <v>1</v>
      </c>
      <c r="AB4" s="2">
        <f t="shared" si="1"/>
        <v>68</v>
      </c>
      <c r="AC4" s="2">
        <f t="shared" ref="AC4:AC16" si="2">I4+N4+T4+R4+R4+E4+D4+S4+A4+N4+T4+E4</f>
        <v>9</v>
      </c>
    </row>
    <row r="5" spans="1:41" ht="15.75" x14ac:dyDescent="0.3">
      <c r="A5" s="2">
        <v>1</v>
      </c>
      <c r="C5" s="2">
        <v>2</v>
      </c>
      <c r="D5" s="2">
        <v>1</v>
      </c>
      <c r="E5" s="2">
        <v>1</v>
      </c>
      <c r="I5" s="2">
        <v>1</v>
      </c>
      <c r="O5" s="2">
        <v>1</v>
      </c>
      <c r="S5" s="2">
        <v>1</v>
      </c>
      <c r="T5" s="2">
        <v>1</v>
      </c>
      <c r="AA5" s="4" t="s">
        <v>2</v>
      </c>
      <c r="AB5" s="2">
        <f t="shared" si="1"/>
        <v>61</v>
      </c>
      <c r="AC5" s="2">
        <f t="shared" si="2"/>
        <v>8</v>
      </c>
      <c r="AD5" s="2">
        <f t="shared" ref="AD5:AD16" si="3">E5+S5+T5+I5+B5+O5+R5+D5+O5</f>
        <v>7</v>
      </c>
    </row>
    <row r="6" spans="1:41" ht="15.75" x14ac:dyDescent="0.3">
      <c r="A6" s="2">
        <v>2</v>
      </c>
      <c r="B6" s="2">
        <v>1</v>
      </c>
      <c r="O6" s="2">
        <v>1</v>
      </c>
      <c r="R6" s="2">
        <v>1</v>
      </c>
      <c r="T6" s="2">
        <v>1</v>
      </c>
      <c r="U6" s="2">
        <v>1</v>
      </c>
      <c r="AA6" s="4" t="s">
        <v>3</v>
      </c>
      <c r="AB6" s="2">
        <f t="shared" si="1"/>
        <v>53</v>
      </c>
      <c r="AC6" s="2">
        <f t="shared" si="2"/>
        <v>6</v>
      </c>
      <c r="AD6" s="2">
        <f t="shared" si="3"/>
        <v>5</v>
      </c>
      <c r="AE6" s="2">
        <f t="shared" ref="AE6:AE16" si="4">D6+I6+S6+C6+O6+T6+E6+C6+A6</f>
        <v>4</v>
      </c>
      <c r="AF6" s="2">
        <f>H6+A6+B6+I6+T6+A6+T6</f>
        <v>7</v>
      </c>
    </row>
    <row r="7" spans="1:41" ht="15.75" x14ac:dyDescent="0.3">
      <c r="A7" s="2">
        <v>1</v>
      </c>
      <c r="H7" s="2">
        <v>1</v>
      </c>
      <c r="I7" s="2">
        <v>1</v>
      </c>
      <c r="O7" s="2">
        <v>2</v>
      </c>
      <c r="R7" s="2">
        <v>2</v>
      </c>
      <c r="AA7" s="4" t="s">
        <v>4</v>
      </c>
      <c r="AB7" s="2">
        <f t="shared" si="1"/>
        <v>52</v>
      </c>
      <c r="AC7" s="2">
        <f t="shared" si="2"/>
        <v>6</v>
      </c>
      <c r="AD7" s="2">
        <f t="shared" si="3"/>
        <v>7</v>
      </c>
      <c r="AE7" s="2">
        <f t="shared" si="4"/>
        <v>4</v>
      </c>
      <c r="AF7" s="2">
        <f>H7+A7+B7+I7+T7+A7+T7</f>
        <v>4</v>
      </c>
      <c r="AG7" s="2">
        <f>T7+U7+B7+A7+R7+A7+O7</f>
        <v>6</v>
      </c>
    </row>
    <row r="8" spans="1:41" ht="15.75" x14ac:dyDescent="0.3">
      <c r="A8" s="2">
        <v>2</v>
      </c>
      <c r="B8" s="2">
        <v>1</v>
      </c>
      <c r="H8" s="2">
        <v>1</v>
      </c>
      <c r="I8" s="2">
        <v>1</v>
      </c>
      <c r="T8" s="2">
        <v>2</v>
      </c>
      <c r="AA8" s="4" t="s">
        <v>5</v>
      </c>
      <c r="AB8" s="2">
        <f t="shared" si="1"/>
        <v>52</v>
      </c>
      <c r="AC8" s="2">
        <f t="shared" si="2"/>
        <v>7</v>
      </c>
      <c r="AD8" s="2">
        <f t="shared" si="3"/>
        <v>4</v>
      </c>
      <c r="AE8" s="2">
        <f t="shared" si="4"/>
        <v>5</v>
      </c>
    </row>
    <row r="9" spans="1:41" ht="15.75" x14ac:dyDescent="0.3">
      <c r="O9" s="2">
        <v>1</v>
      </c>
      <c r="R9" s="2">
        <v>1</v>
      </c>
      <c r="T9" s="2">
        <v>2</v>
      </c>
      <c r="U9" s="2">
        <v>1</v>
      </c>
      <c r="AA9" s="4" t="s">
        <v>6</v>
      </c>
      <c r="AB9" s="2">
        <f t="shared" si="1"/>
        <v>40</v>
      </c>
      <c r="AC9" s="2">
        <f t="shared" si="2"/>
        <v>6</v>
      </c>
      <c r="AD9" s="2">
        <f t="shared" si="3"/>
        <v>5</v>
      </c>
      <c r="AE9" s="2">
        <f t="shared" si="4"/>
        <v>3</v>
      </c>
      <c r="AF9" s="2">
        <f t="shared" ref="AF9:AF16" si="5">H9+A9+B9+I9+T9+A9+T9</f>
        <v>4</v>
      </c>
      <c r="AG9" s="2">
        <f t="shared" ref="AG9:AG16" si="6">T9+U9+B9+A9+R9+A9+O9</f>
        <v>5</v>
      </c>
      <c r="AH9" s="2">
        <f t="shared" ref="AH9:AH16" si="7">H9+O9+R9+A9+R9+I9+O9</f>
        <v>4</v>
      </c>
    </row>
    <row r="10" spans="1:41" ht="15.75" x14ac:dyDescent="0.3">
      <c r="C10" s="2">
        <v>1</v>
      </c>
      <c r="L10" s="2">
        <v>1</v>
      </c>
      <c r="M10" s="2">
        <v>1</v>
      </c>
      <c r="O10" s="2">
        <v>2</v>
      </c>
      <c r="S10" s="2">
        <v>1</v>
      </c>
      <c r="U10" s="2">
        <v>1</v>
      </c>
      <c r="AA10" s="4" t="s">
        <v>7</v>
      </c>
      <c r="AB10" s="2">
        <f t="shared" si="1"/>
        <v>38</v>
      </c>
      <c r="AC10" s="2">
        <f t="shared" si="2"/>
        <v>1</v>
      </c>
      <c r="AD10" s="2">
        <f t="shared" si="3"/>
        <v>5</v>
      </c>
      <c r="AE10" s="2">
        <f t="shared" si="4"/>
        <v>5</v>
      </c>
      <c r="AF10" s="2">
        <f t="shared" si="5"/>
        <v>0</v>
      </c>
      <c r="AG10" s="2">
        <f t="shared" si="6"/>
        <v>3</v>
      </c>
      <c r="AH10" s="2">
        <f t="shared" si="7"/>
        <v>4</v>
      </c>
      <c r="AI10" s="2">
        <f t="shared" ref="AI10:AI16" si="8">T10+U10+T10+O10+R10</f>
        <v>3</v>
      </c>
    </row>
    <row r="11" spans="1:41" ht="15.75" x14ac:dyDescent="0.3">
      <c r="B11" s="2">
        <v>1</v>
      </c>
      <c r="E11" s="2">
        <v>2</v>
      </c>
      <c r="L11" s="2">
        <v>1</v>
      </c>
      <c r="R11" s="2">
        <v>1</v>
      </c>
      <c r="AA11" s="4" t="s">
        <v>8</v>
      </c>
      <c r="AB11" s="2">
        <f t="shared" si="1"/>
        <v>30</v>
      </c>
      <c r="AC11" s="2">
        <f t="shared" si="2"/>
        <v>6</v>
      </c>
      <c r="AD11" s="2">
        <f t="shared" si="3"/>
        <v>4</v>
      </c>
      <c r="AE11" s="2">
        <f t="shared" si="4"/>
        <v>2</v>
      </c>
      <c r="AF11" s="2">
        <f t="shared" si="5"/>
        <v>1</v>
      </c>
      <c r="AG11" s="2">
        <f t="shared" si="6"/>
        <v>2</v>
      </c>
      <c r="AH11" s="2">
        <f t="shared" si="7"/>
        <v>2</v>
      </c>
      <c r="AI11" s="2">
        <f t="shared" si="8"/>
        <v>1</v>
      </c>
      <c r="AJ11" s="2">
        <f t="shared" ref="AJ11:AJ16" si="9">M11+O11+L11+U11+S11+C11+O11</f>
        <v>1</v>
      </c>
      <c r="AK11" s="2">
        <f>P11+O11+S11</f>
        <v>0</v>
      </c>
      <c r="AL11" s="2">
        <f>P11+S11+D11</f>
        <v>0</v>
      </c>
      <c r="AM11" s="2">
        <f>P12+S12+D12</f>
        <v>1</v>
      </c>
      <c r="AN11" s="2">
        <f>I11+M11+A11</f>
        <v>0</v>
      </c>
      <c r="AO11" s="2">
        <f>I11+A11+B11</f>
        <v>1</v>
      </c>
    </row>
    <row r="12" spans="1:41" x14ac:dyDescent="0.25">
      <c r="E12" s="2">
        <v>1</v>
      </c>
      <c r="S12" s="2">
        <v>1</v>
      </c>
      <c r="T12" s="2">
        <v>1</v>
      </c>
      <c r="AA12" s="2" t="s">
        <v>9</v>
      </c>
      <c r="AB12" s="2">
        <f t="shared" si="1"/>
        <v>26</v>
      </c>
      <c r="AC12" s="2">
        <f t="shared" si="2"/>
        <v>5</v>
      </c>
      <c r="AD12" s="2">
        <f t="shared" si="3"/>
        <v>3</v>
      </c>
      <c r="AE12" s="2">
        <f t="shared" si="4"/>
        <v>3</v>
      </c>
      <c r="AF12" s="2">
        <f t="shared" si="5"/>
        <v>2</v>
      </c>
      <c r="AG12" s="2">
        <f t="shared" si="6"/>
        <v>1</v>
      </c>
      <c r="AH12" s="2">
        <f t="shared" si="7"/>
        <v>0</v>
      </c>
      <c r="AI12" s="2">
        <f t="shared" si="8"/>
        <v>2</v>
      </c>
      <c r="AJ12" s="2">
        <f t="shared" si="9"/>
        <v>1</v>
      </c>
      <c r="AK12" s="2">
        <f>P12+O12+S12</f>
        <v>1</v>
      </c>
      <c r="AL12" s="2">
        <f>P12+S12+D12</f>
        <v>1</v>
      </c>
      <c r="AM12" s="2">
        <f>P13+S13+D13</f>
        <v>0</v>
      </c>
      <c r="AN12" s="2">
        <f>I12+M12+A12</f>
        <v>0</v>
      </c>
      <c r="AO12" s="2">
        <f>I12+A12+B12</f>
        <v>0</v>
      </c>
    </row>
    <row r="13" spans="1:41" ht="15.75" x14ac:dyDescent="0.3">
      <c r="A13" s="2">
        <v>1</v>
      </c>
      <c r="B13" s="2">
        <v>1</v>
      </c>
      <c r="I13" s="2">
        <v>1</v>
      </c>
      <c r="AA13" s="4" t="s">
        <v>10</v>
      </c>
      <c r="AB13" s="2">
        <f t="shared" si="1"/>
        <v>21</v>
      </c>
      <c r="AC13" s="2">
        <f t="shared" si="2"/>
        <v>2</v>
      </c>
      <c r="AD13" s="2">
        <f t="shared" si="3"/>
        <v>2</v>
      </c>
      <c r="AE13" s="2">
        <f t="shared" si="4"/>
        <v>2</v>
      </c>
      <c r="AF13" s="2">
        <f t="shared" si="5"/>
        <v>4</v>
      </c>
      <c r="AG13" s="2">
        <f t="shared" si="6"/>
        <v>3</v>
      </c>
      <c r="AH13" s="2">
        <f t="shared" si="7"/>
        <v>2</v>
      </c>
      <c r="AI13" s="2">
        <f t="shared" si="8"/>
        <v>0</v>
      </c>
      <c r="AJ13" s="2">
        <f t="shared" si="9"/>
        <v>0</v>
      </c>
      <c r="AK13" s="2">
        <f>P13+O13+S13</f>
        <v>0</v>
      </c>
      <c r="AL13" s="2">
        <f>P13+S13+D13</f>
        <v>0</v>
      </c>
      <c r="AM13" s="2">
        <f>P14+S14+D14</f>
        <v>2</v>
      </c>
      <c r="AN13" s="2">
        <f>I13+M13+A13</f>
        <v>2</v>
      </c>
    </row>
    <row r="14" spans="1:41" ht="15.75" x14ac:dyDescent="0.3">
      <c r="O14" s="2">
        <v>1</v>
      </c>
      <c r="P14" s="2">
        <v>1</v>
      </c>
      <c r="S14" s="2">
        <v>1</v>
      </c>
      <c r="AA14" s="4" t="s">
        <v>11</v>
      </c>
      <c r="AB14" s="2">
        <f t="shared" si="1"/>
        <v>20</v>
      </c>
      <c r="AC14" s="2">
        <f t="shared" si="2"/>
        <v>1</v>
      </c>
      <c r="AD14" s="2">
        <f t="shared" si="3"/>
        <v>3</v>
      </c>
      <c r="AE14" s="2">
        <f t="shared" si="4"/>
        <v>2</v>
      </c>
      <c r="AF14" s="2">
        <f t="shared" si="5"/>
        <v>0</v>
      </c>
      <c r="AG14" s="2">
        <f t="shared" si="6"/>
        <v>1</v>
      </c>
      <c r="AH14" s="2">
        <f t="shared" si="7"/>
        <v>2</v>
      </c>
      <c r="AI14" s="2">
        <f t="shared" si="8"/>
        <v>1</v>
      </c>
      <c r="AJ14" s="2">
        <f t="shared" si="9"/>
        <v>3</v>
      </c>
    </row>
    <row r="15" spans="1:41" ht="15.75" x14ac:dyDescent="0.3">
      <c r="A15" s="2">
        <v>1</v>
      </c>
      <c r="I15" s="2">
        <v>1</v>
      </c>
      <c r="M15" s="2">
        <v>1</v>
      </c>
      <c r="AA15" s="4" t="s">
        <v>12</v>
      </c>
      <c r="AB15" s="2">
        <f t="shared" si="1"/>
        <v>18</v>
      </c>
      <c r="AC15" s="2">
        <f t="shared" si="2"/>
        <v>2</v>
      </c>
      <c r="AD15" s="2">
        <f t="shared" si="3"/>
        <v>1</v>
      </c>
      <c r="AE15" s="2">
        <f t="shared" si="4"/>
        <v>2</v>
      </c>
      <c r="AF15" s="2">
        <f t="shared" si="5"/>
        <v>3</v>
      </c>
      <c r="AG15" s="2">
        <f t="shared" si="6"/>
        <v>2</v>
      </c>
      <c r="AH15" s="2">
        <f t="shared" si="7"/>
        <v>2</v>
      </c>
      <c r="AI15" s="2">
        <f t="shared" si="8"/>
        <v>0</v>
      </c>
      <c r="AJ15" s="2">
        <f t="shared" si="9"/>
        <v>1</v>
      </c>
      <c r="AK15" s="2">
        <f>P15+O15+S15</f>
        <v>0</v>
      </c>
      <c r="AL15" s="2">
        <f>P15+S15+D15</f>
        <v>0</v>
      </c>
      <c r="AM15" s="2">
        <f>P16+S16+D16</f>
        <v>3</v>
      </c>
    </row>
    <row r="16" spans="1:41" ht="15.75" x14ac:dyDescent="0.3">
      <c r="D16" s="2">
        <v>1</v>
      </c>
      <c r="P16" s="2">
        <v>1</v>
      </c>
      <c r="S16" s="2">
        <v>1</v>
      </c>
      <c r="AA16" s="4" t="s">
        <v>13</v>
      </c>
      <c r="AB16" s="2">
        <f t="shared" si="1"/>
        <v>13</v>
      </c>
      <c r="AC16" s="2">
        <f t="shared" si="2"/>
        <v>2</v>
      </c>
      <c r="AD16" s="2">
        <f t="shared" si="3"/>
        <v>2</v>
      </c>
      <c r="AE16" s="2">
        <f t="shared" si="4"/>
        <v>2</v>
      </c>
      <c r="AF16" s="2">
        <f t="shared" si="5"/>
        <v>0</v>
      </c>
      <c r="AG16" s="2">
        <f t="shared" si="6"/>
        <v>0</v>
      </c>
      <c r="AH16" s="2">
        <f t="shared" si="7"/>
        <v>0</v>
      </c>
      <c r="AI16" s="2">
        <f t="shared" si="8"/>
        <v>0</v>
      </c>
      <c r="AJ16" s="2">
        <f t="shared" si="9"/>
        <v>1</v>
      </c>
      <c r="AK16" s="2">
        <f>P16+O16+S16</f>
        <v>2</v>
      </c>
      <c r="AL16" s="2">
        <f>P16+S16+D16</f>
        <v>3</v>
      </c>
    </row>
  </sheetData>
  <pageMargins left="0.51180555555555496" right="0.51180555555555496" top="0.78749999999999998" bottom="0.78749999999999998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AMK29"/>
  <sheetViews>
    <sheetView showZeros="0" zoomScale="75" zoomScaleNormal="75" workbookViewId="0">
      <selection activeCell="AB5" sqref="AB5"/>
    </sheetView>
  </sheetViews>
  <sheetFormatPr defaultRowHeight="15" x14ac:dyDescent="0.25"/>
  <cols>
    <col min="1" max="14" width="2.28515625" style="2" customWidth="1"/>
    <col min="15" max="15" width="3.42578125" style="2" customWidth="1"/>
    <col min="16" max="19" width="2.28515625" style="2" customWidth="1"/>
    <col min="20" max="20" width="3.42578125" style="2" customWidth="1"/>
    <col min="21" max="27" width="2.28515625" style="2" customWidth="1"/>
    <col min="28" max="28" width="14.42578125" style="5" customWidth="1"/>
    <col min="29" max="29" width="3.42578125" style="2" customWidth="1"/>
    <col min="30" max="43" width="2.28515625" style="6" customWidth="1"/>
    <col min="44" max="44" width="3.42578125" style="6" customWidth="1"/>
    <col min="45" max="48" width="2.28515625" style="6" customWidth="1"/>
    <col min="49" max="49" width="3.42578125" style="6" customWidth="1"/>
    <col min="50" max="55" width="2.28515625" style="6" customWidth="1"/>
    <col min="56" max="1025" width="9.140625" style="2" customWidth="1"/>
  </cols>
  <sheetData>
    <row r="4" spans="1:55" ht="15.75" x14ac:dyDescent="0.3">
      <c r="AD4" s="7" t="s">
        <v>14</v>
      </c>
      <c r="AE4" s="7" t="s">
        <v>15</v>
      </c>
      <c r="AF4" s="7" t="s">
        <v>16</v>
      </c>
      <c r="AG4" s="7" t="s">
        <v>17</v>
      </c>
      <c r="AH4" s="7" t="s">
        <v>18</v>
      </c>
      <c r="AI4" s="7" t="s">
        <v>19</v>
      </c>
      <c r="AJ4" s="7" t="s">
        <v>20</v>
      </c>
      <c r="AK4" s="7" t="s">
        <v>21</v>
      </c>
      <c r="AL4" s="7" t="s">
        <v>22</v>
      </c>
      <c r="AM4" s="7" t="s">
        <v>23</v>
      </c>
      <c r="AN4" s="7" t="s">
        <v>24</v>
      </c>
      <c r="AO4" s="7" t="s">
        <v>25</v>
      </c>
      <c r="AP4" s="7" t="s">
        <v>26</v>
      </c>
      <c r="AQ4" s="7" t="s">
        <v>27</v>
      </c>
      <c r="AR4" s="7" t="s">
        <v>28</v>
      </c>
      <c r="AS4" s="7" t="s">
        <v>29</v>
      </c>
      <c r="AT4" s="7" t="s">
        <v>30</v>
      </c>
      <c r="AU4" s="7" t="s">
        <v>31</v>
      </c>
      <c r="AV4" s="7" t="s">
        <v>32</v>
      </c>
      <c r="AW4" s="7" t="s">
        <v>33</v>
      </c>
      <c r="AX4" s="7" t="s">
        <v>34</v>
      </c>
      <c r="AY4" s="7" t="s">
        <v>35</v>
      </c>
      <c r="AZ4" s="7" t="s">
        <v>36</v>
      </c>
      <c r="BA4" s="7" t="s">
        <v>37</v>
      </c>
      <c r="BB4" s="7" t="s">
        <v>38</v>
      </c>
      <c r="BC4" s="7" t="s">
        <v>39</v>
      </c>
    </row>
    <row r="5" spans="1:55" s="9" customFormat="1" ht="15.75" x14ac:dyDescent="0.3">
      <c r="A5" s="8">
        <f t="shared" ref="A5:Z5" si="0">SUM(A6:A19)</f>
        <v>9</v>
      </c>
      <c r="B5" s="8">
        <f t="shared" si="0"/>
        <v>5</v>
      </c>
      <c r="C5" s="8">
        <f t="shared" si="0"/>
        <v>3</v>
      </c>
      <c r="D5" s="8">
        <f t="shared" si="0"/>
        <v>3</v>
      </c>
      <c r="E5" s="8">
        <f t="shared" si="0"/>
        <v>8</v>
      </c>
      <c r="F5" s="8">
        <f t="shared" si="0"/>
        <v>0</v>
      </c>
      <c r="G5" s="8">
        <f t="shared" si="0"/>
        <v>0</v>
      </c>
      <c r="H5" s="8">
        <f t="shared" si="0"/>
        <v>2</v>
      </c>
      <c r="I5" s="8">
        <f t="shared" si="0"/>
        <v>7</v>
      </c>
      <c r="J5" s="8">
        <f t="shared" si="0"/>
        <v>0</v>
      </c>
      <c r="K5" s="8">
        <f t="shared" si="0"/>
        <v>0</v>
      </c>
      <c r="L5" s="8">
        <f t="shared" si="0"/>
        <v>2</v>
      </c>
      <c r="M5" s="8">
        <f t="shared" si="0"/>
        <v>2</v>
      </c>
      <c r="N5" s="8">
        <f t="shared" si="0"/>
        <v>2</v>
      </c>
      <c r="O5" s="8">
        <f t="shared" si="0"/>
        <v>10</v>
      </c>
      <c r="P5" s="8">
        <f t="shared" si="0"/>
        <v>2</v>
      </c>
      <c r="Q5" s="8">
        <f t="shared" si="0"/>
        <v>0</v>
      </c>
      <c r="R5" s="8">
        <f t="shared" si="0"/>
        <v>7</v>
      </c>
      <c r="S5" s="8">
        <f t="shared" si="0"/>
        <v>8</v>
      </c>
      <c r="T5" s="8">
        <f t="shared" si="0"/>
        <v>10</v>
      </c>
      <c r="U5" s="8">
        <f t="shared" si="0"/>
        <v>3</v>
      </c>
      <c r="V5" s="8">
        <f t="shared" si="0"/>
        <v>0</v>
      </c>
      <c r="W5" s="8">
        <f t="shared" si="0"/>
        <v>0</v>
      </c>
      <c r="X5" s="8">
        <f t="shared" si="0"/>
        <v>0</v>
      </c>
      <c r="Y5" s="8">
        <f t="shared" si="0"/>
        <v>0</v>
      </c>
      <c r="Z5" s="8">
        <f t="shared" si="0"/>
        <v>0</v>
      </c>
      <c r="AA5" s="8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1">
        <f>V5-V6</f>
        <v>0</v>
      </c>
      <c r="AZ5" s="11">
        <f>W5-W6</f>
        <v>0</v>
      </c>
      <c r="BA5" s="11">
        <f>X5-X6</f>
        <v>0</v>
      </c>
      <c r="BB5" s="11">
        <f>Y5-Y6</f>
        <v>0</v>
      </c>
      <c r="BC5" s="11">
        <f>Z5-Z6</f>
        <v>0</v>
      </c>
    </row>
    <row r="6" spans="1:55" ht="15.75" x14ac:dyDescent="0.3">
      <c r="A6" s="2">
        <v>1</v>
      </c>
      <c r="E6" s="2">
        <v>3</v>
      </c>
      <c r="I6" s="2">
        <v>1</v>
      </c>
      <c r="N6" s="2">
        <v>2</v>
      </c>
      <c r="R6" s="2">
        <v>1</v>
      </c>
      <c r="S6" s="2">
        <v>2</v>
      </c>
      <c r="T6" s="2">
        <v>2</v>
      </c>
      <c r="AA6" s="2">
        <v>1</v>
      </c>
      <c r="AB6" s="12" t="s">
        <v>0</v>
      </c>
      <c r="AC6" s="2">
        <f t="shared" ref="AC6:AC19" si="1">SUM(A6:Z6)</f>
        <v>12</v>
      </c>
      <c r="AD6" s="11">
        <v>9</v>
      </c>
      <c r="AE6" s="11">
        <v>5</v>
      </c>
      <c r="AF6" s="11">
        <v>3</v>
      </c>
      <c r="AG6" s="11">
        <v>3</v>
      </c>
      <c r="AH6" s="13">
        <v>8</v>
      </c>
      <c r="AI6" s="11">
        <v>0</v>
      </c>
      <c r="AJ6" s="11">
        <v>0</v>
      </c>
      <c r="AK6" s="11">
        <v>2</v>
      </c>
      <c r="AL6" s="11">
        <v>7</v>
      </c>
      <c r="AM6" s="11">
        <v>0</v>
      </c>
      <c r="AN6" s="11">
        <v>0</v>
      </c>
      <c r="AO6" s="11">
        <v>2</v>
      </c>
      <c r="AP6" s="11">
        <v>2</v>
      </c>
      <c r="AQ6" s="11">
        <v>2</v>
      </c>
      <c r="AR6" s="11">
        <v>10</v>
      </c>
      <c r="AS6" s="11">
        <v>2</v>
      </c>
      <c r="AT6" s="11">
        <v>0</v>
      </c>
      <c r="AU6" s="11">
        <v>7</v>
      </c>
      <c r="AV6" s="11">
        <v>8</v>
      </c>
      <c r="AW6" s="11">
        <v>10</v>
      </c>
      <c r="AX6" s="11">
        <v>3</v>
      </c>
      <c r="AY6" s="10"/>
      <c r="AZ6" s="10"/>
      <c r="BA6" s="10"/>
      <c r="BB6" s="10"/>
      <c r="BC6" s="10"/>
    </row>
    <row r="7" spans="1:55" x14ac:dyDescent="0.25">
      <c r="B7" s="2">
        <v>1</v>
      </c>
      <c r="D7" s="2">
        <v>1</v>
      </c>
      <c r="E7" s="2">
        <v>1</v>
      </c>
      <c r="I7" s="2">
        <v>1</v>
      </c>
      <c r="O7" s="2">
        <v>2</v>
      </c>
      <c r="R7" s="2">
        <v>1</v>
      </c>
      <c r="S7" s="2">
        <v>1</v>
      </c>
      <c r="T7" s="2">
        <v>1</v>
      </c>
      <c r="AB7" s="5" t="s">
        <v>1</v>
      </c>
      <c r="AC7" s="2">
        <f t="shared" si="1"/>
        <v>9</v>
      </c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</row>
    <row r="8" spans="1:55" x14ac:dyDescent="0.25">
      <c r="A8" s="2">
        <v>1</v>
      </c>
      <c r="C8" s="2">
        <v>2</v>
      </c>
      <c r="D8" s="2">
        <v>1</v>
      </c>
      <c r="E8" s="2">
        <v>1</v>
      </c>
      <c r="I8" s="2">
        <v>1</v>
      </c>
      <c r="O8" s="2">
        <v>1</v>
      </c>
      <c r="S8" s="2">
        <v>1</v>
      </c>
      <c r="T8" s="2">
        <v>1</v>
      </c>
      <c r="AB8" s="5" t="s">
        <v>2</v>
      </c>
      <c r="AC8" s="2">
        <f t="shared" si="1"/>
        <v>9</v>
      </c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</row>
    <row r="9" spans="1:55" x14ac:dyDescent="0.25">
      <c r="A9" s="2">
        <v>2</v>
      </c>
      <c r="B9" s="2">
        <v>1</v>
      </c>
      <c r="O9" s="2">
        <v>1</v>
      </c>
      <c r="R9" s="2">
        <v>1</v>
      </c>
      <c r="T9" s="2">
        <v>1</v>
      </c>
      <c r="U9" s="2">
        <v>1</v>
      </c>
      <c r="AB9" s="5" t="s">
        <v>3</v>
      </c>
      <c r="AC9" s="2">
        <f t="shared" si="1"/>
        <v>7</v>
      </c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</row>
    <row r="10" spans="1:55" x14ac:dyDescent="0.25">
      <c r="A10" s="2">
        <v>1</v>
      </c>
      <c r="H10" s="2">
        <v>1</v>
      </c>
      <c r="I10" s="2">
        <v>1</v>
      </c>
      <c r="O10" s="2">
        <v>2</v>
      </c>
      <c r="R10" s="2">
        <v>2</v>
      </c>
      <c r="AB10" s="5" t="s">
        <v>4</v>
      </c>
      <c r="AC10" s="2">
        <f t="shared" si="1"/>
        <v>7</v>
      </c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</row>
    <row r="11" spans="1:55" x14ac:dyDescent="0.25">
      <c r="A11" s="2">
        <v>2</v>
      </c>
      <c r="B11" s="2">
        <v>1</v>
      </c>
      <c r="H11" s="2">
        <v>1</v>
      </c>
      <c r="I11" s="2">
        <v>1</v>
      </c>
      <c r="T11" s="2">
        <v>2</v>
      </c>
      <c r="AB11" s="5" t="s">
        <v>5</v>
      </c>
      <c r="AC11" s="2">
        <f t="shared" si="1"/>
        <v>7</v>
      </c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</row>
    <row r="12" spans="1:55" ht="15.75" x14ac:dyDescent="0.3">
      <c r="C12" s="2">
        <v>1</v>
      </c>
      <c r="L12" s="2">
        <v>1</v>
      </c>
      <c r="M12" s="2">
        <v>1</v>
      </c>
      <c r="O12" s="2">
        <v>2</v>
      </c>
      <c r="S12" s="2">
        <v>1</v>
      </c>
      <c r="U12" s="2">
        <v>1</v>
      </c>
      <c r="AA12" s="2">
        <v>3</v>
      </c>
      <c r="AB12" s="12" t="s">
        <v>7</v>
      </c>
      <c r="AC12" s="2">
        <f t="shared" si="1"/>
        <v>7</v>
      </c>
      <c r="AD12" s="13">
        <v>9</v>
      </c>
      <c r="AE12" s="13">
        <v>4</v>
      </c>
      <c r="AF12" s="13">
        <v>3</v>
      </c>
      <c r="AG12" s="13">
        <v>3</v>
      </c>
      <c r="AH12" s="13">
        <v>6</v>
      </c>
      <c r="AI12" s="13">
        <v>0</v>
      </c>
      <c r="AJ12" s="13">
        <v>0</v>
      </c>
      <c r="AK12" s="13">
        <v>2</v>
      </c>
      <c r="AL12" s="13">
        <v>7</v>
      </c>
      <c r="AM12" s="13">
        <v>0</v>
      </c>
      <c r="AN12" s="13">
        <v>0</v>
      </c>
      <c r="AO12" s="13">
        <v>1</v>
      </c>
      <c r="AP12" s="13">
        <v>2</v>
      </c>
      <c r="AQ12" s="13">
        <v>2</v>
      </c>
      <c r="AR12" s="13">
        <v>10</v>
      </c>
      <c r="AS12" s="13">
        <v>2</v>
      </c>
      <c r="AT12" s="13">
        <v>0</v>
      </c>
      <c r="AU12" s="13">
        <v>6</v>
      </c>
      <c r="AV12" s="13">
        <v>8</v>
      </c>
      <c r="AW12" s="13">
        <v>9</v>
      </c>
      <c r="AX12" s="13">
        <v>3</v>
      </c>
      <c r="AY12" s="10"/>
      <c r="AZ12" s="10"/>
      <c r="BA12" s="10"/>
      <c r="BB12" s="10"/>
      <c r="BC12" s="10"/>
    </row>
    <row r="13" spans="1:55" x14ac:dyDescent="0.25">
      <c r="O13" s="2">
        <v>1</v>
      </c>
      <c r="R13" s="2">
        <v>1</v>
      </c>
      <c r="T13" s="2">
        <v>2</v>
      </c>
      <c r="U13" s="2">
        <v>1</v>
      </c>
      <c r="AB13" s="5" t="s">
        <v>6</v>
      </c>
      <c r="AC13" s="2">
        <f t="shared" si="1"/>
        <v>5</v>
      </c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</row>
    <row r="14" spans="1:55" ht="15.75" x14ac:dyDescent="0.3">
      <c r="B14" s="2">
        <v>1</v>
      </c>
      <c r="E14" s="2">
        <v>2</v>
      </c>
      <c r="L14" s="2">
        <v>1</v>
      </c>
      <c r="R14" s="2">
        <v>1</v>
      </c>
      <c r="AA14" s="2">
        <v>2</v>
      </c>
      <c r="AB14" s="12" t="s">
        <v>8</v>
      </c>
      <c r="AC14" s="2">
        <f t="shared" si="1"/>
        <v>5</v>
      </c>
      <c r="AD14" s="11">
        <v>9</v>
      </c>
      <c r="AE14" s="14">
        <v>4</v>
      </c>
      <c r="AF14" s="11">
        <v>3</v>
      </c>
      <c r="AG14" s="11">
        <v>3</v>
      </c>
      <c r="AH14" s="14">
        <v>6</v>
      </c>
      <c r="AI14" s="11">
        <v>0</v>
      </c>
      <c r="AJ14" s="11">
        <v>0</v>
      </c>
      <c r="AK14" s="11">
        <v>2</v>
      </c>
      <c r="AL14" s="11">
        <v>7</v>
      </c>
      <c r="AM14" s="11">
        <v>0</v>
      </c>
      <c r="AN14" s="11">
        <v>0</v>
      </c>
      <c r="AO14" s="14">
        <v>1</v>
      </c>
      <c r="AP14" s="11">
        <v>2</v>
      </c>
      <c r="AQ14" s="11">
        <v>2</v>
      </c>
      <c r="AR14" s="11">
        <v>10</v>
      </c>
      <c r="AS14" s="11">
        <v>2</v>
      </c>
      <c r="AT14" s="11">
        <v>0</v>
      </c>
      <c r="AU14" s="14">
        <v>6</v>
      </c>
      <c r="AV14" s="11">
        <v>8</v>
      </c>
      <c r="AW14" s="14">
        <v>9</v>
      </c>
      <c r="AX14" s="11">
        <v>3</v>
      </c>
      <c r="AY14" s="10"/>
      <c r="AZ14" s="10"/>
      <c r="BA14" s="10"/>
      <c r="BB14" s="10"/>
      <c r="BC14" s="10"/>
    </row>
    <row r="15" spans="1:55" x14ac:dyDescent="0.25">
      <c r="E15" s="2">
        <v>1</v>
      </c>
      <c r="S15" s="2">
        <v>1</v>
      </c>
      <c r="T15" s="2">
        <v>1</v>
      </c>
      <c r="AB15" s="5" t="s">
        <v>9</v>
      </c>
      <c r="AC15" s="2">
        <f t="shared" si="1"/>
        <v>3</v>
      </c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</row>
    <row r="16" spans="1:55" x14ac:dyDescent="0.25">
      <c r="A16" s="2">
        <v>1</v>
      </c>
      <c r="B16" s="2">
        <v>1</v>
      </c>
      <c r="I16" s="2">
        <v>1</v>
      </c>
      <c r="AB16" s="5" t="s">
        <v>10</v>
      </c>
      <c r="AC16" s="2">
        <f t="shared" si="1"/>
        <v>3</v>
      </c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</row>
    <row r="17" spans="1:55" x14ac:dyDescent="0.25">
      <c r="O17" s="2">
        <v>1</v>
      </c>
      <c r="P17" s="2">
        <v>1</v>
      </c>
      <c r="S17" s="2">
        <v>1</v>
      </c>
      <c r="AB17" s="5" t="s">
        <v>11</v>
      </c>
      <c r="AC17" s="2">
        <f t="shared" si="1"/>
        <v>3</v>
      </c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</row>
    <row r="18" spans="1:55" x14ac:dyDescent="0.25">
      <c r="A18" s="2">
        <v>1</v>
      </c>
      <c r="I18" s="2">
        <v>1</v>
      </c>
      <c r="M18" s="2">
        <v>1</v>
      </c>
      <c r="AB18" s="5" t="s">
        <v>12</v>
      </c>
      <c r="AC18" s="2">
        <f t="shared" si="1"/>
        <v>3</v>
      </c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</row>
    <row r="19" spans="1:55" x14ac:dyDescent="0.25">
      <c r="D19" s="2">
        <v>1</v>
      </c>
      <c r="P19" s="2">
        <v>1</v>
      </c>
      <c r="S19" s="2">
        <v>1</v>
      </c>
      <c r="AB19" s="5" t="s">
        <v>13</v>
      </c>
      <c r="AC19" s="2">
        <f t="shared" si="1"/>
        <v>3</v>
      </c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</row>
    <row r="25" spans="1:55" x14ac:dyDescent="0.25">
      <c r="AO25" s="6" t="s">
        <v>40</v>
      </c>
      <c r="AP25" s="6" t="s">
        <v>41</v>
      </c>
      <c r="AQ25" s="6" t="s">
        <v>40</v>
      </c>
    </row>
    <row r="26" spans="1:55" x14ac:dyDescent="0.25">
      <c r="AM26" s="6" t="s">
        <v>42</v>
      </c>
      <c r="AN26" s="6" t="s">
        <v>43</v>
      </c>
      <c r="AO26" s="6" t="s">
        <v>44</v>
      </c>
      <c r="AP26" s="6" t="s">
        <v>45</v>
      </c>
      <c r="AQ26" s="2" t="s">
        <v>46</v>
      </c>
      <c r="AR26" s="2" t="s">
        <v>45</v>
      </c>
      <c r="AS26" s="6" t="s">
        <v>47</v>
      </c>
      <c r="AT26" s="6" t="s">
        <v>47</v>
      </c>
      <c r="AU26" s="6" t="s">
        <v>48</v>
      </c>
      <c r="AV26" s="6" t="s">
        <v>43</v>
      </c>
      <c r="AW26" s="6" t="s">
        <v>44</v>
      </c>
      <c r="AX26" s="6" t="s">
        <v>45</v>
      </c>
    </row>
    <row r="27" spans="1:55" x14ac:dyDescent="0.25">
      <c r="AO27" s="6" t="s">
        <v>40</v>
      </c>
      <c r="AP27" s="6" t="s">
        <v>49</v>
      </c>
      <c r="AQ27" s="6" t="s">
        <v>40</v>
      </c>
    </row>
    <row r="28" spans="1:55" x14ac:dyDescent="0.25">
      <c r="AP28" s="6" t="s">
        <v>46</v>
      </c>
    </row>
    <row r="29" spans="1:55" x14ac:dyDescent="0.25">
      <c r="AP29" s="6" t="s">
        <v>45</v>
      </c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Roman,Regular"&amp;12&amp;A</oddHeader>
    <oddFooter>&amp;C&amp;"Times New Roman,Regular"&amp;12Página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F63"/>
  <sheetViews>
    <sheetView showZeros="0" zoomScale="75" zoomScaleNormal="75" workbookViewId="0">
      <selection activeCell="Z2" sqref="Z2"/>
    </sheetView>
  </sheetViews>
  <sheetFormatPr defaultRowHeight="15" x14ac:dyDescent="0.25"/>
  <cols>
    <col min="1" max="14" width="2.28515625" style="2" customWidth="1"/>
    <col min="15" max="15" width="3.28515625" style="2" customWidth="1"/>
    <col min="16" max="19" width="2.28515625" style="2" customWidth="1"/>
    <col min="20" max="20" width="3.28515625" style="2" customWidth="1"/>
    <col min="21" max="21" width="2.28515625" style="2" customWidth="1"/>
    <col min="22" max="22" width="1.28515625" style="2" customWidth="1"/>
    <col min="23" max="23" width="13" style="2" customWidth="1"/>
    <col min="24" max="24" width="3.28515625" style="2" customWidth="1"/>
    <col min="25" max="25" width="1.42578125" style="2" customWidth="1"/>
    <col min="26" max="39" width="3.28515625" style="9" customWidth="1"/>
    <col min="40" max="40" width="1.5703125" style="2" customWidth="1"/>
    <col min="41" max="66" width="7.140625" style="2" customWidth="1"/>
    <col min="67" max="1020" width="9.140625" style="2" customWidth="1"/>
    <col min="1021" max="1025" width="9.140625" customWidth="1"/>
  </cols>
  <sheetData>
    <row r="1" spans="1:42" ht="15.75" x14ac:dyDescent="0.3">
      <c r="A1" s="3">
        <f t="shared" ref="A1:U1" si="0">SUM(A2:A15)</f>
        <v>9</v>
      </c>
      <c r="B1" s="3">
        <f t="shared" si="0"/>
        <v>5</v>
      </c>
      <c r="C1" s="3">
        <f t="shared" si="0"/>
        <v>3</v>
      </c>
      <c r="D1" s="3">
        <f t="shared" si="0"/>
        <v>3</v>
      </c>
      <c r="E1" s="3">
        <f t="shared" si="0"/>
        <v>8</v>
      </c>
      <c r="F1" s="3">
        <f t="shared" si="0"/>
        <v>0</v>
      </c>
      <c r="G1" s="3">
        <f t="shared" si="0"/>
        <v>0</v>
      </c>
      <c r="H1" s="3">
        <f t="shared" si="0"/>
        <v>2</v>
      </c>
      <c r="I1" s="3">
        <f t="shared" si="0"/>
        <v>7</v>
      </c>
      <c r="J1" s="3">
        <f t="shared" si="0"/>
        <v>0</v>
      </c>
      <c r="K1" s="3">
        <f t="shared" si="0"/>
        <v>0</v>
      </c>
      <c r="L1" s="3">
        <f t="shared" si="0"/>
        <v>2</v>
      </c>
      <c r="M1" s="3">
        <f t="shared" si="0"/>
        <v>2</v>
      </c>
      <c r="N1" s="3">
        <f t="shared" si="0"/>
        <v>2</v>
      </c>
      <c r="O1" s="3">
        <f t="shared" si="0"/>
        <v>10</v>
      </c>
      <c r="P1" s="3">
        <f t="shared" si="0"/>
        <v>2</v>
      </c>
      <c r="Q1" s="3">
        <f t="shared" si="0"/>
        <v>0</v>
      </c>
      <c r="R1" s="3">
        <f t="shared" si="0"/>
        <v>7</v>
      </c>
      <c r="S1" s="3">
        <f t="shared" si="0"/>
        <v>8</v>
      </c>
      <c r="T1" s="3">
        <f t="shared" si="0"/>
        <v>10</v>
      </c>
      <c r="U1" s="3">
        <f t="shared" si="0"/>
        <v>3</v>
      </c>
    </row>
    <row r="2" spans="1:42" x14ac:dyDescent="0.25">
      <c r="A2" s="2">
        <v>1</v>
      </c>
      <c r="E2" s="2">
        <v>3</v>
      </c>
      <c r="I2" s="2">
        <v>1</v>
      </c>
      <c r="N2" s="2">
        <v>2</v>
      </c>
      <c r="R2" s="2">
        <v>1</v>
      </c>
      <c r="S2" s="2">
        <v>2</v>
      </c>
      <c r="T2" s="2">
        <v>2</v>
      </c>
      <c r="W2" s="2" t="s">
        <v>0</v>
      </c>
      <c r="X2" s="2">
        <f t="shared" ref="X2:X15" si="1">LEN(W2)</f>
        <v>12</v>
      </c>
      <c r="AA2" s="9" t="s">
        <v>50</v>
      </c>
      <c r="AB2" s="9" t="s">
        <v>51</v>
      </c>
      <c r="AC2" s="9" t="s">
        <v>52</v>
      </c>
      <c r="AD2" s="9" t="s">
        <v>53</v>
      </c>
      <c r="AE2" s="9" t="s">
        <v>54</v>
      </c>
      <c r="AF2" s="9" t="s">
        <v>55</v>
      </c>
      <c r="AG2" s="9" t="s">
        <v>56</v>
      </c>
      <c r="AH2" s="9" t="s">
        <v>57</v>
      </c>
      <c r="AI2" s="9" t="s">
        <v>58</v>
      </c>
      <c r="AJ2" s="9" t="s">
        <v>59</v>
      </c>
      <c r="AK2" s="9" t="s">
        <v>60</v>
      </c>
      <c r="AL2" s="9" t="s">
        <v>61</v>
      </c>
      <c r="AM2" s="9" t="s">
        <v>62</v>
      </c>
    </row>
    <row r="3" spans="1:42" x14ac:dyDescent="0.25">
      <c r="A3" s="2">
        <v>1</v>
      </c>
      <c r="C3" s="2">
        <v>2</v>
      </c>
      <c r="D3" s="2">
        <v>1</v>
      </c>
      <c r="E3" s="2">
        <v>1</v>
      </c>
      <c r="I3" s="2">
        <v>1</v>
      </c>
      <c r="O3" s="2">
        <v>1</v>
      </c>
      <c r="S3" s="2">
        <v>1</v>
      </c>
      <c r="T3" s="2">
        <v>1</v>
      </c>
      <c r="W3" s="2" t="s">
        <v>2</v>
      </c>
      <c r="X3" s="2">
        <f t="shared" si="1"/>
        <v>9</v>
      </c>
      <c r="Z3" s="9" t="s">
        <v>50</v>
      </c>
      <c r="AA3" s="9" t="s">
        <v>42</v>
      </c>
    </row>
    <row r="4" spans="1:42" x14ac:dyDescent="0.25">
      <c r="B4" s="2">
        <v>1</v>
      </c>
      <c r="D4" s="2">
        <v>1</v>
      </c>
      <c r="E4" s="2">
        <v>1</v>
      </c>
      <c r="I4" s="2">
        <v>1</v>
      </c>
      <c r="O4" s="2">
        <v>2</v>
      </c>
      <c r="R4" s="2">
        <v>1</v>
      </c>
      <c r="S4" s="2">
        <v>1</v>
      </c>
      <c r="T4" s="2">
        <v>1</v>
      </c>
      <c r="W4" s="2" t="s">
        <v>1</v>
      </c>
      <c r="X4" s="2">
        <f t="shared" si="1"/>
        <v>9</v>
      </c>
      <c r="Z4" s="9" t="s">
        <v>51</v>
      </c>
      <c r="AA4" s="9" t="s">
        <v>43</v>
      </c>
    </row>
    <row r="5" spans="1:42" x14ac:dyDescent="0.25">
      <c r="A5" s="2">
        <v>2</v>
      </c>
      <c r="B5" s="2">
        <v>1</v>
      </c>
      <c r="O5" s="2">
        <v>1</v>
      </c>
      <c r="R5" s="2">
        <v>1</v>
      </c>
      <c r="T5" s="2">
        <v>1</v>
      </c>
      <c r="U5" s="2">
        <v>1</v>
      </c>
      <c r="W5" s="2" t="s">
        <v>3</v>
      </c>
      <c r="X5" s="2">
        <f t="shared" si="1"/>
        <v>7</v>
      </c>
      <c r="Z5" s="9" t="s">
        <v>52</v>
      </c>
      <c r="AA5" s="9" t="s">
        <v>44</v>
      </c>
    </row>
    <row r="6" spans="1:42" x14ac:dyDescent="0.25">
      <c r="A6" s="2">
        <v>2</v>
      </c>
      <c r="B6" s="2">
        <v>1</v>
      </c>
      <c r="H6" s="2">
        <v>1</v>
      </c>
      <c r="I6" s="2">
        <v>1</v>
      </c>
      <c r="T6" s="2">
        <v>2</v>
      </c>
      <c r="W6" s="2" t="s">
        <v>5</v>
      </c>
      <c r="X6" s="2">
        <f t="shared" si="1"/>
        <v>7</v>
      </c>
      <c r="Z6" s="9" t="s">
        <v>53</v>
      </c>
      <c r="AA6" s="9" t="s">
        <v>45</v>
      </c>
    </row>
    <row r="7" spans="1:42" x14ac:dyDescent="0.25">
      <c r="A7" s="2">
        <v>1</v>
      </c>
      <c r="H7" s="2">
        <v>1</v>
      </c>
      <c r="I7" s="2">
        <v>1</v>
      </c>
      <c r="O7" s="2">
        <v>2</v>
      </c>
      <c r="R7" s="2">
        <v>2</v>
      </c>
      <c r="W7" s="2" t="s">
        <v>4</v>
      </c>
      <c r="X7" s="2">
        <f t="shared" si="1"/>
        <v>7</v>
      </c>
      <c r="Z7" s="9" t="s">
        <v>54</v>
      </c>
      <c r="AA7" s="9" t="s">
        <v>46</v>
      </c>
      <c r="AP7"/>
    </row>
    <row r="8" spans="1:42" x14ac:dyDescent="0.25">
      <c r="C8" s="2">
        <v>1</v>
      </c>
      <c r="L8" s="2">
        <v>1</v>
      </c>
      <c r="M8" s="2">
        <v>1</v>
      </c>
      <c r="O8" s="2">
        <v>2</v>
      </c>
      <c r="S8" s="2">
        <v>1</v>
      </c>
      <c r="U8" s="2">
        <v>1</v>
      </c>
      <c r="W8" s="2" t="s">
        <v>7</v>
      </c>
      <c r="X8" s="2">
        <f t="shared" si="1"/>
        <v>7</v>
      </c>
      <c r="Z8" s="9" t="s">
        <v>55</v>
      </c>
      <c r="AA8" s="9" t="s">
        <v>45</v>
      </c>
      <c r="AP8"/>
    </row>
    <row r="9" spans="1:42" x14ac:dyDescent="0.25">
      <c r="O9" s="2">
        <v>1</v>
      </c>
      <c r="R9" s="2">
        <v>1</v>
      </c>
      <c r="T9" s="2">
        <v>2</v>
      </c>
      <c r="U9" s="2">
        <v>1</v>
      </c>
      <c r="W9" s="2" t="s">
        <v>6</v>
      </c>
      <c r="X9" s="2">
        <f t="shared" si="1"/>
        <v>5</v>
      </c>
      <c r="Z9" s="9" t="s">
        <v>56</v>
      </c>
      <c r="AA9" s="9" t="s">
        <v>47</v>
      </c>
      <c r="AP9"/>
    </row>
    <row r="10" spans="1:42" x14ac:dyDescent="0.25">
      <c r="B10" s="2">
        <v>1</v>
      </c>
      <c r="E10" s="2">
        <v>2</v>
      </c>
      <c r="L10" s="2">
        <v>1</v>
      </c>
      <c r="R10" s="2">
        <v>1</v>
      </c>
      <c r="W10" s="2" t="s">
        <v>8</v>
      </c>
      <c r="X10" s="2">
        <f t="shared" si="1"/>
        <v>5</v>
      </c>
      <c r="Z10" s="9" t="s">
        <v>57</v>
      </c>
      <c r="AA10" s="9" t="s">
        <v>47</v>
      </c>
      <c r="AP10"/>
    </row>
    <row r="11" spans="1:42" x14ac:dyDescent="0.25">
      <c r="A11" s="2">
        <v>1</v>
      </c>
      <c r="B11" s="2">
        <v>1</v>
      </c>
      <c r="I11" s="2">
        <v>1</v>
      </c>
      <c r="W11" s="2" t="s">
        <v>10</v>
      </c>
      <c r="X11" s="2">
        <f t="shared" si="1"/>
        <v>3</v>
      </c>
      <c r="Z11" s="9" t="s">
        <v>58</v>
      </c>
      <c r="AA11" s="9" t="s">
        <v>48</v>
      </c>
      <c r="AP11"/>
    </row>
    <row r="12" spans="1:42" x14ac:dyDescent="0.25">
      <c r="A12" s="2">
        <v>1</v>
      </c>
      <c r="I12" s="2">
        <v>1</v>
      </c>
      <c r="M12" s="2">
        <v>1</v>
      </c>
      <c r="W12" s="2" t="s">
        <v>12</v>
      </c>
      <c r="X12" s="2">
        <f t="shared" si="1"/>
        <v>3</v>
      </c>
      <c r="Z12" s="9" t="s">
        <v>59</v>
      </c>
      <c r="AA12" s="9" t="s">
        <v>43</v>
      </c>
    </row>
    <row r="13" spans="1:42" x14ac:dyDescent="0.25">
      <c r="E13" s="2">
        <v>1</v>
      </c>
      <c r="S13" s="2">
        <v>1</v>
      </c>
      <c r="T13" s="2">
        <v>1</v>
      </c>
      <c r="W13" s="2" t="s">
        <v>9</v>
      </c>
      <c r="X13" s="2">
        <f t="shared" si="1"/>
        <v>3</v>
      </c>
      <c r="Z13" s="9" t="s">
        <v>60</v>
      </c>
      <c r="AA13" s="9" t="s">
        <v>44</v>
      </c>
    </row>
    <row r="14" spans="1:42" x14ac:dyDescent="0.25">
      <c r="O14" s="2">
        <v>1</v>
      </c>
      <c r="P14" s="2">
        <v>1</v>
      </c>
      <c r="S14" s="2">
        <v>1</v>
      </c>
      <c r="W14" s="2" t="s">
        <v>11</v>
      </c>
      <c r="X14" s="2">
        <f t="shared" si="1"/>
        <v>3</v>
      </c>
      <c r="Z14" s="9" t="s">
        <v>61</v>
      </c>
      <c r="AA14" s="9" t="s">
        <v>45</v>
      </c>
    </row>
    <row r="15" spans="1:42" x14ac:dyDescent="0.25">
      <c r="D15" s="2">
        <v>1</v>
      </c>
      <c r="P15" s="2">
        <v>1</v>
      </c>
      <c r="S15" s="2">
        <v>1</v>
      </c>
      <c r="W15" s="2" t="s">
        <v>13</v>
      </c>
      <c r="X15" s="2">
        <f t="shared" si="1"/>
        <v>3</v>
      </c>
      <c r="Z15" s="9" t="s">
        <v>62</v>
      </c>
    </row>
    <row r="17" spans="1:39" ht="15.75" x14ac:dyDescent="0.3">
      <c r="A17" s="3">
        <f t="shared" ref="A17:U17" si="2">SUM(A18:A31)</f>
        <v>9</v>
      </c>
      <c r="B17" s="3">
        <f t="shared" si="2"/>
        <v>5</v>
      </c>
      <c r="C17" s="3">
        <f t="shared" si="2"/>
        <v>3</v>
      </c>
      <c r="D17" s="3">
        <f t="shared" si="2"/>
        <v>3</v>
      </c>
      <c r="E17" s="3">
        <f t="shared" si="2"/>
        <v>8</v>
      </c>
      <c r="F17" s="3">
        <f t="shared" si="2"/>
        <v>0</v>
      </c>
      <c r="G17" s="3">
        <f t="shared" si="2"/>
        <v>0</v>
      </c>
      <c r="H17" s="3">
        <f t="shared" si="2"/>
        <v>2</v>
      </c>
      <c r="I17" s="3">
        <f t="shared" si="2"/>
        <v>7</v>
      </c>
      <c r="J17" s="3">
        <f t="shared" si="2"/>
        <v>0</v>
      </c>
      <c r="K17" s="3">
        <f t="shared" si="2"/>
        <v>0</v>
      </c>
      <c r="L17" s="3">
        <f t="shared" si="2"/>
        <v>2</v>
      </c>
      <c r="M17" s="3">
        <f t="shared" si="2"/>
        <v>2</v>
      </c>
      <c r="N17" s="3">
        <f t="shared" si="2"/>
        <v>2</v>
      </c>
      <c r="O17" s="3">
        <f t="shared" si="2"/>
        <v>10</v>
      </c>
      <c r="P17" s="3">
        <f t="shared" si="2"/>
        <v>2</v>
      </c>
      <c r="Q17" s="3">
        <f t="shared" si="2"/>
        <v>0</v>
      </c>
      <c r="R17" s="3">
        <f t="shared" si="2"/>
        <v>7</v>
      </c>
      <c r="S17" s="3">
        <f t="shared" si="2"/>
        <v>8</v>
      </c>
      <c r="T17" s="3">
        <f t="shared" si="2"/>
        <v>10</v>
      </c>
      <c r="U17" s="3">
        <f t="shared" si="2"/>
        <v>3</v>
      </c>
    </row>
    <row r="18" spans="1:39" ht="15.75" x14ac:dyDescent="0.3">
      <c r="A18" s="2">
        <v>1</v>
      </c>
      <c r="E18" s="2">
        <v>3</v>
      </c>
      <c r="I18" s="2">
        <v>1</v>
      </c>
      <c r="N18" s="2">
        <v>2</v>
      </c>
      <c r="R18" s="2">
        <v>1</v>
      </c>
      <c r="S18" s="2">
        <v>2</v>
      </c>
      <c r="T18" s="2">
        <v>2</v>
      </c>
      <c r="W18" s="4" t="s">
        <v>0</v>
      </c>
      <c r="X18" s="2">
        <f t="shared" ref="X18:X31" si="3">LEN(W18)</f>
        <v>12</v>
      </c>
      <c r="AA18" s="9" t="s">
        <v>50</v>
      </c>
      <c r="AB18" s="9" t="s">
        <v>51</v>
      </c>
      <c r="AC18" s="9" t="s">
        <v>52</v>
      </c>
      <c r="AD18" s="9" t="s">
        <v>53</v>
      </c>
      <c r="AE18" s="9" t="s">
        <v>54</v>
      </c>
      <c r="AF18" s="9" t="s">
        <v>55</v>
      </c>
      <c r="AG18" s="9" t="s">
        <v>56</v>
      </c>
      <c r="AH18" s="9" t="s">
        <v>57</v>
      </c>
      <c r="AI18" s="9" t="s">
        <v>58</v>
      </c>
      <c r="AJ18" s="9" t="s">
        <v>59</v>
      </c>
      <c r="AK18" s="9" t="s">
        <v>60</v>
      </c>
      <c r="AL18" s="9" t="s">
        <v>61</v>
      </c>
      <c r="AM18" s="9" t="s">
        <v>62</v>
      </c>
    </row>
    <row r="19" spans="1:39" x14ac:dyDescent="0.25">
      <c r="A19" s="2">
        <v>1</v>
      </c>
      <c r="C19" s="2">
        <v>2</v>
      </c>
      <c r="D19" s="2">
        <v>1</v>
      </c>
      <c r="E19" s="2">
        <v>1</v>
      </c>
      <c r="I19" s="2">
        <v>1</v>
      </c>
      <c r="O19" s="2">
        <v>1</v>
      </c>
      <c r="S19" s="2">
        <v>1</v>
      </c>
      <c r="T19" s="2">
        <v>1</v>
      </c>
      <c r="W19" s="2" t="s">
        <v>2</v>
      </c>
      <c r="X19" s="2">
        <f t="shared" si="3"/>
        <v>9</v>
      </c>
      <c r="Z19" s="9" t="s">
        <v>50</v>
      </c>
      <c r="AA19" s="9" t="s">
        <v>42</v>
      </c>
    </row>
    <row r="20" spans="1:39" x14ac:dyDescent="0.25">
      <c r="B20" s="2">
        <v>1</v>
      </c>
      <c r="D20" s="2">
        <v>1</v>
      </c>
      <c r="E20" s="2">
        <v>1</v>
      </c>
      <c r="I20" s="2">
        <v>1</v>
      </c>
      <c r="O20" s="2">
        <v>2</v>
      </c>
      <c r="R20" s="2">
        <v>1</v>
      </c>
      <c r="S20" s="2">
        <v>1</v>
      </c>
      <c r="T20" s="2">
        <v>1</v>
      </c>
      <c r="W20" s="2" t="s">
        <v>1</v>
      </c>
      <c r="X20" s="2">
        <f t="shared" si="3"/>
        <v>9</v>
      </c>
      <c r="Z20" s="9" t="s">
        <v>51</v>
      </c>
      <c r="AA20" s="9" t="s">
        <v>43</v>
      </c>
    </row>
    <row r="21" spans="1:39" x14ac:dyDescent="0.25">
      <c r="A21" s="2">
        <v>2</v>
      </c>
      <c r="B21" s="2">
        <v>1</v>
      </c>
      <c r="O21" s="2">
        <v>1</v>
      </c>
      <c r="R21" s="2">
        <v>1</v>
      </c>
      <c r="T21" s="2">
        <v>1</v>
      </c>
      <c r="U21" s="2">
        <v>1</v>
      </c>
      <c r="W21" s="2" t="s">
        <v>3</v>
      </c>
      <c r="X21" s="2">
        <f t="shared" si="3"/>
        <v>7</v>
      </c>
      <c r="Z21" s="9" t="s">
        <v>52</v>
      </c>
      <c r="AA21" s="9" t="s">
        <v>44</v>
      </c>
    </row>
    <row r="22" spans="1:39" x14ac:dyDescent="0.25">
      <c r="A22" s="2">
        <v>2</v>
      </c>
      <c r="B22" s="2">
        <v>1</v>
      </c>
      <c r="H22" s="2">
        <v>1</v>
      </c>
      <c r="I22" s="2">
        <v>1</v>
      </c>
      <c r="T22" s="2">
        <v>2</v>
      </c>
      <c r="W22" s="2" t="s">
        <v>5</v>
      </c>
      <c r="X22" s="2">
        <f t="shared" si="3"/>
        <v>7</v>
      </c>
      <c r="Z22" s="9" t="s">
        <v>53</v>
      </c>
      <c r="AA22" s="9" t="s">
        <v>45</v>
      </c>
    </row>
    <row r="23" spans="1:39" x14ac:dyDescent="0.25">
      <c r="A23" s="2">
        <v>1</v>
      </c>
      <c r="H23" s="2">
        <v>1</v>
      </c>
      <c r="I23" s="2">
        <v>1</v>
      </c>
      <c r="O23" s="2">
        <v>2</v>
      </c>
      <c r="R23" s="2">
        <v>2</v>
      </c>
      <c r="W23" s="2" t="s">
        <v>4</v>
      </c>
      <c r="X23" s="2">
        <f t="shared" si="3"/>
        <v>7</v>
      </c>
      <c r="Z23" s="9" t="s">
        <v>54</v>
      </c>
      <c r="AA23" s="9" t="s">
        <v>46</v>
      </c>
    </row>
    <row r="24" spans="1:39" x14ac:dyDescent="0.25">
      <c r="C24" s="2">
        <v>1</v>
      </c>
      <c r="L24" s="2">
        <v>1</v>
      </c>
      <c r="M24" s="2">
        <v>1</v>
      </c>
      <c r="O24" s="2">
        <v>2</v>
      </c>
      <c r="S24" s="2">
        <v>1</v>
      </c>
      <c r="U24" s="2">
        <v>1</v>
      </c>
      <c r="W24" s="2" t="s">
        <v>7</v>
      </c>
      <c r="X24" s="2">
        <f t="shared" si="3"/>
        <v>7</v>
      </c>
      <c r="Z24" s="9" t="s">
        <v>55</v>
      </c>
      <c r="AA24" s="9" t="s">
        <v>45</v>
      </c>
    </row>
    <row r="25" spans="1:39" x14ac:dyDescent="0.25">
      <c r="O25" s="2">
        <v>1</v>
      </c>
      <c r="R25" s="2">
        <v>1</v>
      </c>
      <c r="T25" s="2">
        <v>2</v>
      </c>
      <c r="U25" s="2">
        <v>1</v>
      </c>
      <c r="W25" s="2" t="s">
        <v>6</v>
      </c>
      <c r="X25" s="2">
        <f t="shared" si="3"/>
        <v>5</v>
      </c>
      <c r="Z25" s="9" t="s">
        <v>56</v>
      </c>
      <c r="AA25" s="9" t="s">
        <v>47</v>
      </c>
    </row>
    <row r="26" spans="1:39" x14ac:dyDescent="0.25">
      <c r="B26" s="2">
        <v>1</v>
      </c>
      <c r="E26" s="2">
        <v>2</v>
      </c>
      <c r="L26" s="2">
        <v>1</v>
      </c>
      <c r="R26" s="2">
        <v>1</v>
      </c>
      <c r="W26" s="2" t="s">
        <v>8</v>
      </c>
      <c r="X26" s="2">
        <f t="shared" si="3"/>
        <v>5</v>
      </c>
      <c r="Z26" s="9" t="s">
        <v>57</v>
      </c>
      <c r="AA26" s="9" t="s">
        <v>47</v>
      </c>
    </row>
    <row r="27" spans="1:39" x14ac:dyDescent="0.25">
      <c r="A27" s="2">
        <v>1</v>
      </c>
      <c r="B27" s="2">
        <v>1</v>
      </c>
      <c r="I27" s="2">
        <v>1</v>
      </c>
      <c r="W27" s="2" t="s">
        <v>10</v>
      </c>
      <c r="X27" s="2">
        <f t="shared" si="3"/>
        <v>3</v>
      </c>
      <c r="Z27" s="9" t="s">
        <v>58</v>
      </c>
      <c r="AA27" s="9" t="s">
        <v>48</v>
      </c>
    </row>
    <row r="28" spans="1:39" x14ac:dyDescent="0.25">
      <c r="A28" s="2">
        <v>1</v>
      </c>
      <c r="I28" s="2">
        <v>1</v>
      </c>
      <c r="M28" s="2">
        <v>1</v>
      </c>
      <c r="W28" s="2" t="s">
        <v>12</v>
      </c>
      <c r="X28" s="2">
        <f t="shared" si="3"/>
        <v>3</v>
      </c>
      <c r="Z28" s="9" t="s">
        <v>59</v>
      </c>
      <c r="AA28" s="9" t="s">
        <v>43</v>
      </c>
    </row>
    <row r="29" spans="1:39" x14ac:dyDescent="0.25">
      <c r="E29" s="2">
        <v>1</v>
      </c>
      <c r="S29" s="2">
        <v>1</v>
      </c>
      <c r="T29" s="2">
        <v>1</v>
      </c>
      <c r="W29" s="2" t="s">
        <v>9</v>
      </c>
      <c r="X29" s="2">
        <f t="shared" si="3"/>
        <v>3</v>
      </c>
      <c r="Z29" s="9" t="s">
        <v>60</v>
      </c>
      <c r="AA29" s="9" t="s">
        <v>44</v>
      </c>
    </row>
    <row r="30" spans="1:39" x14ac:dyDescent="0.25">
      <c r="O30" s="2">
        <v>1</v>
      </c>
      <c r="P30" s="2">
        <v>1</v>
      </c>
      <c r="S30" s="2">
        <v>1</v>
      </c>
      <c r="W30" s="2" t="s">
        <v>11</v>
      </c>
      <c r="X30" s="2">
        <f t="shared" si="3"/>
        <v>3</v>
      </c>
      <c r="Z30" s="9" t="s">
        <v>61</v>
      </c>
      <c r="AA30" s="9" t="s">
        <v>45</v>
      </c>
    </row>
    <row r="31" spans="1:39" x14ac:dyDescent="0.25">
      <c r="D31" s="2">
        <v>1</v>
      </c>
      <c r="P31" s="2">
        <v>1</v>
      </c>
      <c r="S31" s="2">
        <v>1</v>
      </c>
      <c r="W31" s="2" t="s">
        <v>13</v>
      </c>
      <c r="X31" s="2">
        <f t="shared" si="3"/>
        <v>3</v>
      </c>
      <c r="Z31" s="9" t="s">
        <v>62</v>
      </c>
    </row>
    <row r="33" spans="1:67" ht="15.75" x14ac:dyDescent="0.3">
      <c r="A33" s="3">
        <f t="shared" ref="A33:U33" si="4">SUM(A34:A47)</f>
        <v>9</v>
      </c>
      <c r="B33" s="3">
        <f t="shared" si="4"/>
        <v>5</v>
      </c>
      <c r="C33" s="3">
        <f t="shared" si="4"/>
        <v>3</v>
      </c>
      <c r="D33" s="3">
        <f t="shared" si="4"/>
        <v>3</v>
      </c>
      <c r="E33" s="3">
        <f t="shared" si="4"/>
        <v>6</v>
      </c>
      <c r="F33" s="3">
        <f t="shared" si="4"/>
        <v>0</v>
      </c>
      <c r="G33" s="3">
        <f t="shared" si="4"/>
        <v>0</v>
      </c>
      <c r="H33" s="3">
        <f t="shared" si="4"/>
        <v>2</v>
      </c>
      <c r="I33" s="3">
        <f t="shared" si="4"/>
        <v>7</v>
      </c>
      <c r="J33" s="3">
        <f t="shared" si="4"/>
        <v>0</v>
      </c>
      <c r="K33" s="3">
        <f t="shared" si="4"/>
        <v>0</v>
      </c>
      <c r="L33" s="3">
        <f t="shared" si="4"/>
        <v>2</v>
      </c>
      <c r="M33" s="3">
        <f t="shared" si="4"/>
        <v>2</v>
      </c>
      <c r="N33" s="3">
        <f t="shared" si="4"/>
        <v>2</v>
      </c>
      <c r="O33" s="3">
        <f t="shared" si="4"/>
        <v>10</v>
      </c>
      <c r="P33" s="3">
        <f t="shared" si="4"/>
        <v>2</v>
      </c>
      <c r="Q33" s="3">
        <f t="shared" si="4"/>
        <v>0</v>
      </c>
      <c r="R33" s="3">
        <f t="shared" si="4"/>
        <v>7</v>
      </c>
      <c r="S33" s="3">
        <f t="shared" si="4"/>
        <v>7</v>
      </c>
      <c r="T33" s="3">
        <f t="shared" si="4"/>
        <v>10</v>
      </c>
      <c r="U33" s="3">
        <f t="shared" si="4"/>
        <v>3</v>
      </c>
      <c r="AO33" s="8" t="s">
        <v>14</v>
      </c>
      <c r="AP33" s="8" t="s">
        <v>15</v>
      </c>
      <c r="AQ33" s="8" t="s">
        <v>16</v>
      </c>
      <c r="AR33" s="8" t="s">
        <v>17</v>
      </c>
      <c r="AS33" s="8" t="s">
        <v>18</v>
      </c>
      <c r="AT33" s="8" t="s">
        <v>19</v>
      </c>
      <c r="AU33" s="8" t="s">
        <v>20</v>
      </c>
      <c r="AV33" s="8" t="s">
        <v>21</v>
      </c>
      <c r="AW33" s="8" t="s">
        <v>22</v>
      </c>
      <c r="AX33" s="8" t="s">
        <v>23</v>
      </c>
      <c r="AY33" s="8" t="s">
        <v>24</v>
      </c>
      <c r="AZ33" s="8" t="s">
        <v>25</v>
      </c>
      <c r="BA33" s="8" t="s">
        <v>26</v>
      </c>
      <c r="BB33" s="8" t="s">
        <v>27</v>
      </c>
      <c r="BC33" s="8" t="s">
        <v>28</v>
      </c>
      <c r="BD33" s="8" t="s">
        <v>29</v>
      </c>
      <c r="BE33" s="8" t="s">
        <v>30</v>
      </c>
      <c r="BF33" s="8" t="s">
        <v>31</v>
      </c>
      <c r="BG33" s="8" t="s">
        <v>32</v>
      </c>
      <c r="BH33" s="8" t="s">
        <v>33</v>
      </c>
      <c r="BI33" s="8" t="s">
        <v>34</v>
      </c>
      <c r="BJ33" s="8" t="s">
        <v>35</v>
      </c>
      <c r="BK33" s="8" t="s">
        <v>36</v>
      </c>
      <c r="BL33" s="8" t="s">
        <v>37</v>
      </c>
      <c r="BM33" s="8" t="s">
        <v>38</v>
      </c>
      <c r="BN33" s="8" t="s">
        <v>39</v>
      </c>
    </row>
    <row r="34" spans="1:67" ht="15.75" x14ac:dyDescent="0.3">
      <c r="A34" s="2">
        <v>1</v>
      </c>
      <c r="E34" s="2">
        <v>2</v>
      </c>
      <c r="I34" s="2">
        <v>1</v>
      </c>
      <c r="N34" s="2">
        <v>2</v>
      </c>
      <c r="R34" s="2">
        <v>1</v>
      </c>
      <c r="S34" s="2">
        <v>2</v>
      </c>
      <c r="T34" s="2">
        <v>2</v>
      </c>
      <c r="W34" s="4" t="s">
        <v>0</v>
      </c>
      <c r="X34" s="2">
        <f t="shared" ref="X34:X47" si="5">LEN(W34)</f>
        <v>12</v>
      </c>
      <c r="AA34" s="9" t="s">
        <v>50</v>
      </c>
      <c r="AB34" s="9" t="s">
        <v>51</v>
      </c>
      <c r="AC34" s="9" t="s">
        <v>52</v>
      </c>
      <c r="AD34" s="9" t="s">
        <v>53</v>
      </c>
      <c r="AE34" s="9" t="s">
        <v>54</v>
      </c>
      <c r="AF34" s="9" t="s">
        <v>55</v>
      </c>
      <c r="AG34" s="9" t="s">
        <v>56</v>
      </c>
      <c r="AH34" s="9" t="s">
        <v>57</v>
      </c>
      <c r="AI34" s="9" t="s">
        <v>58</v>
      </c>
      <c r="AJ34" s="9" t="s">
        <v>59</v>
      </c>
      <c r="AK34" s="9" t="s">
        <v>60</v>
      </c>
      <c r="AL34" s="9" t="s">
        <v>61</v>
      </c>
      <c r="AM34" s="9" t="s">
        <v>62</v>
      </c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</row>
    <row r="35" spans="1:67" x14ac:dyDescent="0.25">
      <c r="A35" s="2">
        <v>1</v>
      </c>
      <c r="C35" s="2">
        <v>2</v>
      </c>
      <c r="D35" s="2">
        <v>1</v>
      </c>
      <c r="E35" s="2">
        <v>1</v>
      </c>
      <c r="I35" s="2">
        <v>1</v>
      </c>
      <c r="O35" s="2">
        <v>1</v>
      </c>
      <c r="S35" s="2">
        <v>1</v>
      </c>
      <c r="T35" s="2">
        <v>1</v>
      </c>
      <c r="W35" s="2" t="s">
        <v>2</v>
      </c>
      <c r="X35" s="2">
        <f t="shared" si="5"/>
        <v>9</v>
      </c>
      <c r="Z35" s="9" t="s">
        <v>50</v>
      </c>
      <c r="AA35" s="9" t="s">
        <v>42</v>
      </c>
      <c r="AO35" s="15">
        <f t="shared" ref="AO35:AX36" si="6">IF(A$33=0,0,A35/A$33)</f>
        <v>0.1111111111111111</v>
      </c>
      <c r="AP35" s="15">
        <f t="shared" si="6"/>
        <v>0</v>
      </c>
      <c r="AQ35" s="15">
        <f t="shared" si="6"/>
        <v>0.66666666666666663</v>
      </c>
      <c r="AR35" s="15">
        <f t="shared" si="6"/>
        <v>0.33333333333333331</v>
      </c>
      <c r="AS35" s="15">
        <f t="shared" si="6"/>
        <v>0.16666666666666666</v>
      </c>
      <c r="AT35" s="15">
        <f t="shared" si="6"/>
        <v>0</v>
      </c>
      <c r="AU35" s="15">
        <f t="shared" si="6"/>
        <v>0</v>
      </c>
      <c r="AV35" s="15">
        <f t="shared" si="6"/>
        <v>0</v>
      </c>
      <c r="AW35" s="15">
        <f t="shared" si="6"/>
        <v>0.14285714285714285</v>
      </c>
      <c r="AX35" s="15">
        <f t="shared" si="6"/>
        <v>0</v>
      </c>
      <c r="AY35" s="15">
        <f t="shared" ref="AY35:BH36" si="7">IF(K$33=0,0,K35/K$33)</f>
        <v>0</v>
      </c>
      <c r="AZ35" s="15">
        <f t="shared" si="7"/>
        <v>0</v>
      </c>
      <c r="BA35" s="15">
        <f t="shared" si="7"/>
        <v>0</v>
      </c>
      <c r="BB35" s="15">
        <f t="shared" si="7"/>
        <v>0</v>
      </c>
      <c r="BC35" s="15">
        <f t="shared" si="7"/>
        <v>0.1</v>
      </c>
      <c r="BD35" s="15">
        <f t="shared" si="7"/>
        <v>0</v>
      </c>
      <c r="BE35" s="15">
        <f t="shared" si="7"/>
        <v>0</v>
      </c>
      <c r="BF35" s="15">
        <f t="shared" si="7"/>
        <v>0</v>
      </c>
      <c r="BG35" s="15">
        <f t="shared" si="7"/>
        <v>0.14285714285714285</v>
      </c>
      <c r="BH35" s="15">
        <f t="shared" si="7"/>
        <v>0.1</v>
      </c>
      <c r="BI35" s="15">
        <f t="shared" ref="BI35:BR36" si="8">IF(U$33=0,0,U35/U$33)</f>
        <v>0</v>
      </c>
      <c r="BJ35" s="15">
        <f t="shared" si="8"/>
        <v>0</v>
      </c>
      <c r="BK35" s="15">
        <f t="shared" si="8"/>
        <v>0</v>
      </c>
      <c r="BL35" s="15">
        <f t="shared" si="8"/>
        <v>0</v>
      </c>
      <c r="BM35" s="15">
        <f t="shared" si="8"/>
        <v>0</v>
      </c>
      <c r="BN35" s="15">
        <f t="shared" si="8"/>
        <v>0</v>
      </c>
      <c r="BO35" s="2">
        <f>SUM(AO35:BN35)</f>
        <v>1.7634920634920634</v>
      </c>
    </row>
    <row r="36" spans="1:67" ht="15.75" x14ac:dyDescent="0.3">
      <c r="B36" s="2">
        <v>1</v>
      </c>
      <c r="D36" s="2">
        <v>1</v>
      </c>
      <c r="E36" s="2">
        <v>0</v>
      </c>
      <c r="I36" s="2">
        <v>1</v>
      </c>
      <c r="O36" s="2">
        <v>2</v>
      </c>
      <c r="R36" s="2">
        <v>1</v>
      </c>
      <c r="S36" s="2">
        <v>0</v>
      </c>
      <c r="T36" s="2">
        <v>1</v>
      </c>
      <c r="W36" s="4" t="s">
        <v>1</v>
      </c>
      <c r="X36" s="2">
        <f t="shared" si="5"/>
        <v>9</v>
      </c>
      <c r="Z36" s="9" t="s">
        <v>51</v>
      </c>
      <c r="AA36" s="9" t="s">
        <v>43</v>
      </c>
      <c r="AO36" s="15">
        <f t="shared" si="6"/>
        <v>0</v>
      </c>
      <c r="AP36" s="15">
        <f t="shared" si="6"/>
        <v>0.2</v>
      </c>
      <c r="AQ36" s="15">
        <f t="shared" si="6"/>
        <v>0</v>
      </c>
      <c r="AR36" s="15">
        <f t="shared" si="6"/>
        <v>0.33333333333333331</v>
      </c>
      <c r="AS36" s="15">
        <f t="shared" si="6"/>
        <v>0</v>
      </c>
      <c r="AT36" s="15">
        <f t="shared" si="6"/>
        <v>0</v>
      </c>
      <c r="AU36" s="15">
        <f t="shared" si="6"/>
        <v>0</v>
      </c>
      <c r="AV36" s="15">
        <f t="shared" si="6"/>
        <v>0</v>
      </c>
      <c r="AW36" s="15">
        <f t="shared" si="6"/>
        <v>0.14285714285714285</v>
      </c>
      <c r="AX36" s="15">
        <f t="shared" si="6"/>
        <v>0</v>
      </c>
      <c r="AY36" s="15">
        <f t="shared" si="7"/>
        <v>0</v>
      </c>
      <c r="AZ36" s="15">
        <f t="shared" si="7"/>
        <v>0</v>
      </c>
      <c r="BA36" s="15">
        <f t="shared" si="7"/>
        <v>0</v>
      </c>
      <c r="BB36" s="15">
        <f t="shared" si="7"/>
        <v>0</v>
      </c>
      <c r="BC36" s="15">
        <f t="shared" si="7"/>
        <v>0.2</v>
      </c>
      <c r="BD36" s="15">
        <f t="shared" si="7"/>
        <v>0</v>
      </c>
      <c r="BE36" s="15">
        <f t="shared" si="7"/>
        <v>0</v>
      </c>
      <c r="BF36" s="15">
        <f t="shared" si="7"/>
        <v>0.14285714285714285</v>
      </c>
      <c r="BG36" s="15">
        <f t="shared" si="7"/>
        <v>0</v>
      </c>
      <c r="BH36" s="15">
        <f t="shared" si="7"/>
        <v>0.1</v>
      </c>
      <c r="BI36" s="15">
        <f t="shared" si="8"/>
        <v>0</v>
      </c>
      <c r="BJ36" s="15">
        <f t="shared" si="8"/>
        <v>0</v>
      </c>
      <c r="BK36" s="15">
        <f t="shared" si="8"/>
        <v>0</v>
      </c>
      <c r="BL36" s="15">
        <f t="shared" si="8"/>
        <v>0</v>
      </c>
      <c r="BM36" s="15">
        <f t="shared" si="8"/>
        <v>0</v>
      </c>
      <c r="BN36" s="15">
        <f t="shared" si="8"/>
        <v>0</v>
      </c>
      <c r="BO36" s="2">
        <f>SUM(AO36:BN36)</f>
        <v>1.1190476190476191</v>
      </c>
    </row>
    <row r="37" spans="1:67" x14ac:dyDescent="0.25">
      <c r="A37" s="2">
        <v>2</v>
      </c>
      <c r="B37" s="2">
        <v>1</v>
      </c>
      <c r="O37" s="2">
        <v>1</v>
      </c>
      <c r="R37" s="2">
        <v>1</v>
      </c>
      <c r="T37" s="2">
        <v>1</v>
      </c>
      <c r="U37" s="2">
        <v>1</v>
      </c>
      <c r="W37" s="2" t="s">
        <v>3</v>
      </c>
      <c r="X37" s="2">
        <f t="shared" si="5"/>
        <v>7</v>
      </c>
      <c r="Z37" s="9" t="s">
        <v>52</v>
      </c>
      <c r="AA37" s="9" t="s">
        <v>44</v>
      </c>
    </row>
    <row r="38" spans="1:67" x14ac:dyDescent="0.25">
      <c r="A38" s="2">
        <v>2</v>
      </c>
      <c r="B38" s="2">
        <v>1</v>
      </c>
      <c r="H38" s="2">
        <v>1</v>
      </c>
      <c r="I38" s="2">
        <v>1</v>
      </c>
      <c r="T38" s="2">
        <v>2</v>
      </c>
      <c r="W38" s="2" t="s">
        <v>5</v>
      </c>
      <c r="X38" s="2">
        <f t="shared" si="5"/>
        <v>7</v>
      </c>
      <c r="Z38" s="9" t="s">
        <v>53</v>
      </c>
      <c r="AA38" s="9" t="s">
        <v>45</v>
      </c>
      <c r="AB38" s="9" t="s">
        <v>47</v>
      </c>
      <c r="AC38" s="9" t="s">
        <v>44</v>
      </c>
      <c r="AD38" s="9" t="s">
        <v>42</v>
      </c>
      <c r="AE38" s="9" t="s">
        <v>49</v>
      </c>
      <c r="AF38" s="9" t="s">
        <v>63</v>
      </c>
      <c r="AG38" s="9" t="s">
        <v>46</v>
      </c>
      <c r="AH38" s="9" t="s">
        <v>64</v>
      </c>
      <c r="AI38" s="9" t="s">
        <v>63</v>
      </c>
    </row>
    <row r="39" spans="1:67" x14ac:dyDescent="0.25">
      <c r="A39" s="2">
        <v>1</v>
      </c>
      <c r="H39" s="2">
        <v>1</v>
      </c>
      <c r="I39" s="2">
        <v>1</v>
      </c>
      <c r="O39" s="2">
        <v>2</v>
      </c>
      <c r="R39" s="2">
        <v>2</v>
      </c>
      <c r="W39" s="2" t="s">
        <v>4</v>
      </c>
      <c r="X39" s="2">
        <f t="shared" si="5"/>
        <v>7</v>
      </c>
      <c r="Z39" s="9" t="s">
        <v>54</v>
      </c>
      <c r="AA39" s="9" t="s">
        <v>46</v>
      </c>
      <c r="AH39" s="9" t="s">
        <v>42</v>
      </c>
    </row>
    <row r="40" spans="1:67" x14ac:dyDescent="0.25">
      <c r="C40" s="2">
        <v>1</v>
      </c>
      <c r="L40" s="2">
        <v>1</v>
      </c>
      <c r="M40" s="2">
        <v>1</v>
      </c>
      <c r="O40" s="2">
        <v>2</v>
      </c>
      <c r="S40" s="2">
        <v>1</v>
      </c>
      <c r="U40" s="2">
        <v>1</v>
      </c>
      <c r="W40" s="2" t="s">
        <v>7</v>
      </c>
      <c r="X40" s="2">
        <f t="shared" si="5"/>
        <v>7</v>
      </c>
      <c r="Z40" s="9" t="s">
        <v>55</v>
      </c>
      <c r="AA40" s="9" t="s">
        <v>45</v>
      </c>
      <c r="AH40" s="9" t="s">
        <v>47</v>
      </c>
    </row>
    <row r="41" spans="1:67" x14ac:dyDescent="0.25">
      <c r="O41" s="2">
        <v>1</v>
      </c>
      <c r="R41" s="2">
        <v>1</v>
      </c>
      <c r="T41" s="2">
        <v>2</v>
      </c>
      <c r="U41" s="2">
        <v>1</v>
      </c>
      <c r="W41" s="2" t="s">
        <v>6</v>
      </c>
      <c r="X41" s="2">
        <f t="shared" si="5"/>
        <v>5</v>
      </c>
      <c r="Z41" s="9" t="s">
        <v>56</v>
      </c>
      <c r="AA41" s="9" t="s">
        <v>47</v>
      </c>
      <c r="AH41" s="9" t="s">
        <v>65</v>
      </c>
    </row>
    <row r="42" spans="1:67" x14ac:dyDescent="0.25">
      <c r="B42" s="2">
        <v>1</v>
      </c>
      <c r="E42" s="2">
        <v>2</v>
      </c>
      <c r="L42" s="2">
        <v>1</v>
      </c>
      <c r="R42" s="2">
        <v>1</v>
      </c>
      <c r="W42" s="2" t="s">
        <v>8</v>
      </c>
      <c r="X42" s="2">
        <f t="shared" si="5"/>
        <v>5</v>
      </c>
      <c r="Z42" s="9" t="s">
        <v>57</v>
      </c>
      <c r="AA42" s="9" t="s">
        <v>47</v>
      </c>
      <c r="AH42" s="9" t="s">
        <v>63</v>
      </c>
    </row>
    <row r="43" spans="1:67" x14ac:dyDescent="0.25">
      <c r="A43" s="2">
        <v>1</v>
      </c>
      <c r="B43" s="2">
        <v>1</v>
      </c>
      <c r="I43" s="2">
        <v>1</v>
      </c>
      <c r="W43" s="2" t="s">
        <v>10</v>
      </c>
      <c r="X43" s="2">
        <f t="shared" si="5"/>
        <v>3</v>
      </c>
      <c r="Z43" s="9" t="s">
        <v>58</v>
      </c>
      <c r="AA43" s="9" t="s">
        <v>48</v>
      </c>
      <c r="AH43" s="9" t="s">
        <v>44</v>
      </c>
    </row>
    <row r="44" spans="1:67" x14ac:dyDescent="0.25">
      <c r="A44" s="2">
        <v>1</v>
      </c>
      <c r="I44" s="2">
        <v>1</v>
      </c>
      <c r="M44" s="2">
        <v>1</v>
      </c>
      <c r="W44" s="2" t="s">
        <v>12</v>
      </c>
      <c r="X44" s="2">
        <f t="shared" si="5"/>
        <v>3</v>
      </c>
      <c r="Z44" s="9" t="s">
        <v>59</v>
      </c>
      <c r="AA44" s="9" t="s">
        <v>43</v>
      </c>
      <c r="AH44" s="9" t="s">
        <v>45</v>
      </c>
    </row>
    <row r="45" spans="1:67" x14ac:dyDescent="0.25">
      <c r="E45" s="2">
        <v>1</v>
      </c>
      <c r="S45" s="2">
        <v>1</v>
      </c>
      <c r="T45" s="2">
        <v>1</v>
      </c>
      <c r="W45" s="2" t="s">
        <v>9</v>
      </c>
      <c r="X45" s="2">
        <f t="shared" si="5"/>
        <v>3</v>
      </c>
      <c r="Z45" s="9" t="s">
        <v>60</v>
      </c>
      <c r="AA45" s="9" t="s">
        <v>44</v>
      </c>
      <c r="AH45" s="9" t="s">
        <v>65</v>
      </c>
    </row>
    <row r="46" spans="1:67" x14ac:dyDescent="0.25">
      <c r="O46" s="2">
        <v>1</v>
      </c>
      <c r="P46" s="2">
        <v>1</v>
      </c>
      <c r="S46" s="2">
        <v>1</v>
      </c>
      <c r="W46" s="2" t="s">
        <v>11</v>
      </c>
      <c r="X46" s="2">
        <f t="shared" si="5"/>
        <v>3</v>
      </c>
      <c r="Z46" s="9" t="s">
        <v>61</v>
      </c>
      <c r="AA46" s="9" t="s">
        <v>45</v>
      </c>
      <c r="AH46" s="9" t="s">
        <v>48</v>
      </c>
    </row>
    <row r="47" spans="1:67" x14ac:dyDescent="0.25">
      <c r="D47" s="2">
        <v>1</v>
      </c>
      <c r="P47" s="2">
        <v>1</v>
      </c>
      <c r="S47" s="2">
        <v>1</v>
      </c>
      <c r="W47" s="2" t="s">
        <v>13</v>
      </c>
      <c r="X47" s="2">
        <f t="shared" si="5"/>
        <v>3</v>
      </c>
      <c r="Z47" s="9" t="s">
        <v>62</v>
      </c>
    </row>
    <row r="49" spans="1:39" ht="15.75" x14ac:dyDescent="0.3">
      <c r="A49" s="3">
        <f t="shared" ref="A49:U49" si="9">SUM(A50:A63)</f>
        <v>9</v>
      </c>
      <c r="B49" s="3">
        <f t="shared" si="9"/>
        <v>5</v>
      </c>
      <c r="C49" s="3">
        <f t="shared" si="9"/>
        <v>3</v>
      </c>
      <c r="D49" s="3">
        <f t="shared" si="9"/>
        <v>1</v>
      </c>
      <c r="E49" s="3">
        <f t="shared" si="9"/>
        <v>6</v>
      </c>
      <c r="F49" s="3">
        <f t="shared" si="9"/>
        <v>0</v>
      </c>
      <c r="G49" s="3">
        <f t="shared" si="9"/>
        <v>0</v>
      </c>
      <c r="H49" s="3">
        <f t="shared" si="9"/>
        <v>2</v>
      </c>
      <c r="I49" s="3">
        <f t="shared" si="9"/>
        <v>6</v>
      </c>
      <c r="J49" s="3">
        <f t="shared" si="9"/>
        <v>0</v>
      </c>
      <c r="K49" s="3">
        <f t="shared" si="9"/>
        <v>0</v>
      </c>
      <c r="L49" s="3">
        <f t="shared" si="9"/>
        <v>2</v>
      </c>
      <c r="M49" s="3">
        <f t="shared" si="9"/>
        <v>2</v>
      </c>
      <c r="N49" s="3">
        <f t="shared" si="9"/>
        <v>2</v>
      </c>
      <c r="O49" s="3">
        <f t="shared" si="9"/>
        <v>10</v>
      </c>
      <c r="P49" s="3">
        <f t="shared" si="9"/>
        <v>2</v>
      </c>
      <c r="Q49" s="3">
        <f t="shared" si="9"/>
        <v>0</v>
      </c>
      <c r="R49" s="3">
        <f t="shared" si="9"/>
        <v>7</v>
      </c>
      <c r="S49" s="3">
        <f t="shared" si="9"/>
        <v>7</v>
      </c>
      <c r="T49" s="3">
        <f t="shared" si="9"/>
        <v>10</v>
      </c>
      <c r="U49" s="3">
        <f t="shared" si="9"/>
        <v>3</v>
      </c>
    </row>
    <row r="50" spans="1:39" ht="15.75" x14ac:dyDescent="0.3">
      <c r="A50" s="2">
        <v>1</v>
      </c>
      <c r="E50" s="2">
        <v>2</v>
      </c>
      <c r="I50" s="2">
        <v>1</v>
      </c>
      <c r="N50" s="2">
        <v>2</v>
      </c>
      <c r="R50" s="2">
        <v>1</v>
      </c>
      <c r="S50" s="2">
        <v>2</v>
      </c>
      <c r="T50" s="2">
        <v>2</v>
      </c>
      <c r="W50" s="4" t="s">
        <v>0</v>
      </c>
      <c r="X50" s="2">
        <f t="shared" ref="X50:X63" si="10">LEN(W50)</f>
        <v>12</v>
      </c>
      <c r="AA50" s="9" t="s">
        <v>50</v>
      </c>
      <c r="AB50" s="9" t="s">
        <v>51</v>
      </c>
      <c r="AC50" s="9" t="s">
        <v>52</v>
      </c>
      <c r="AD50" s="9" t="s">
        <v>53</v>
      </c>
      <c r="AE50" s="9" t="s">
        <v>54</v>
      </c>
      <c r="AF50" s="9" t="s">
        <v>55</v>
      </c>
      <c r="AG50" s="9" t="s">
        <v>56</v>
      </c>
      <c r="AH50" s="9" t="s">
        <v>57</v>
      </c>
      <c r="AI50" s="9" t="s">
        <v>58</v>
      </c>
      <c r="AJ50" s="9" t="s">
        <v>59</v>
      </c>
      <c r="AK50" s="9" t="s">
        <v>60</v>
      </c>
      <c r="AL50" s="9" t="s">
        <v>61</v>
      </c>
      <c r="AM50" s="9" t="s">
        <v>62</v>
      </c>
    </row>
    <row r="51" spans="1:39" ht="15.75" x14ac:dyDescent="0.3">
      <c r="A51" s="2">
        <v>1</v>
      </c>
      <c r="C51" s="2">
        <v>2</v>
      </c>
      <c r="D51" s="2">
        <v>0</v>
      </c>
      <c r="E51" s="2">
        <v>1</v>
      </c>
      <c r="I51" s="2">
        <v>0</v>
      </c>
      <c r="O51" s="2">
        <v>1</v>
      </c>
      <c r="S51" s="2">
        <v>1</v>
      </c>
      <c r="T51" s="2">
        <v>1</v>
      </c>
      <c r="W51" s="4" t="s">
        <v>2</v>
      </c>
      <c r="X51" s="2">
        <f t="shared" si="10"/>
        <v>9</v>
      </c>
      <c r="Z51" s="9" t="s">
        <v>50</v>
      </c>
      <c r="AA51" s="9" t="s">
        <v>42</v>
      </c>
    </row>
    <row r="52" spans="1:39" ht="15.75" x14ac:dyDescent="0.3">
      <c r="B52" s="2">
        <v>1</v>
      </c>
      <c r="D52" s="2">
        <v>0</v>
      </c>
      <c r="E52" s="2">
        <v>0</v>
      </c>
      <c r="I52" s="2">
        <v>1</v>
      </c>
      <c r="O52" s="2">
        <v>2</v>
      </c>
      <c r="R52" s="2">
        <v>1</v>
      </c>
      <c r="S52" s="2">
        <v>0</v>
      </c>
      <c r="T52" s="2">
        <v>1</v>
      </c>
      <c r="W52" s="4" t="s">
        <v>1</v>
      </c>
      <c r="X52" s="2">
        <f t="shared" si="10"/>
        <v>9</v>
      </c>
      <c r="Z52" s="9" t="s">
        <v>51</v>
      </c>
      <c r="AA52" s="9" t="s">
        <v>43</v>
      </c>
    </row>
    <row r="53" spans="1:39" x14ac:dyDescent="0.25">
      <c r="A53" s="2">
        <v>2</v>
      </c>
      <c r="B53" s="2">
        <v>1</v>
      </c>
      <c r="H53" s="2">
        <v>1</v>
      </c>
      <c r="I53" s="2">
        <v>1</v>
      </c>
      <c r="T53" s="2">
        <v>2</v>
      </c>
      <c r="W53" s="2" t="s">
        <v>5</v>
      </c>
      <c r="X53" s="2">
        <f t="shared" si="10"/>
        <v>7</v>
      </c>
      <c r="Z53" s="9" t="s">
        <v>52</v>
      </c>
      <c r="AA53" s="9" t="s">
        <v>44</v>
      </c>
    </row>
    <row r="54" spans="1:39" x14ac:dyDescent="0.25">
      <c r="A54" s="2">
        <v>1</v>
      </c>
      <c r="H54" s="2">
        <v>1</v>
      </c>
      <c r="I54" s="2">
        <v>1</v>
      </c>
      <c r="O54" s="2">
        <v>2</v>
      </c>
      <c r="R54" s="2">
        <v>2</v>
      </c>
      <c r="W54" s="2" t="s">
        <v>4</v>
      </c>
      <c r="X54" s="2">
        <f t="shared" si="10"/>
        <v>7</v>
      </c>
      <c r="Z54" s="9" t="s">
        <v>53</v>
      </c>
      <c r="AA54" s="9" t="s">
        <v>45</v>
      </c>
      <c r="AB54" s="9" t="s">
        <v>47</v>
      </c>
      <c r="AC54" s="9" t="s">
        <v>44</v>
      </c>
      <c r="AD54" s="9" t="s">
        <v>42</v>
      </c>
      <c r="AE54" s="9" t="s">
        <v>49</v>
      </c>
      <c r="AF54" s="9" t="s">
        <v>63</v>
      </c>
      <c r="AG54" s="9" t="s">
        <v>46</v>
      </c>
      <c r="AH54" s="9" t="s">
        <v>64</v>
      </c>
      <c r="AI54" s="9" t="s">
        <v>63</v>
      </c>
    </row>
    <row r="55" spans="1:39" x14ac:dyDescent="0.25">
      <c r="C55" s="2">
        <v>1</v>
      </c>
      <c r="L55" s="2">
        <v>1</v>
      </c>
      <c r="M55" s="2">
        <v>1</v>
      </c>
      <c r="O55" s="2">
        <v>2</v>
      </c>
      <c r="S55" s="2">
        <v>1</v>
      </c>
      <c r="U55" s="2">
        <v>1</v>
      </c>
      <c r="W55" s="2" t="s">
        <v>7</v>
      </c>
      <c r="X55" s="2">
        <f t="shared" si="10"/>
        <v>7</v>
      </c>
      <c r="Z55" s="9" t="s">
        <v>54</v>
      </c>
      <c r="AA55" s="9" t="s">
        <v>46</v>
      </c>
      <c r="AH55" s="9" t="s">
        <v>42</v>
      </c>
    </row>
    <row r="56" spans="1:39" x14ac:dyDescent="0.25">
      <c r="A56" s="2">
        <v>2</v>
      </c>
      <c r="B56" s="2">
        <v>1</v>
      </c>
      <c r="O56" s="2">
        <v>1</v>
      </c>
      <c r="R56" s="2">
        <v>1</v>
      </c>
      <c r="T56" s="2">
        <v>1</v>
      </c>
      <c r="U56" s="2">
        <v>1</v>
      </c>
      <c r="W56" s="2" t="s">
        <v>3</v>
      </c>
      <c r="X56" s="2">
        <f t="shared" si="10"/>
        <v>7</v>
      </c>
      <c r="Z56" s="9" t="s">
        <v>55</v>
      </c>
      <c r="AA56" s="9" t="s">
        <v>45</v>
      </c>
      <c r="AH56" s="9" t="s">
        <v>47</v>
      </c>
    </row>
    <row r="57" spans="1:39" x14ac:dyDescent="0.25">
      <c r="B57" s="2">
        <v>1</v>
      </c>
      <c r="E57" s="2">
        <v>2</v>
      </c>
      <c r="L57" s="2">
        <v>1</v>
      </c>
      <c r="R57" s="2">
        <v>1</v>
      </c>
      <c r="W57" s="2" t="s">
        <v>8</v>
      </c>
      <c r="X57" s="2">
        <f t="shared" si="10"/>
        <v>5</v>
      </c>
      <c r="Z57" s="9" t="s">
        <v>56</v>
      </c>
      <c r="AA57" s="9" t="s">
        <v>47</v>
      </c>
      <c r="AH57" s="9" t="s">
        <v>65</v>
      </c>
    </row>
    <row r="58" spans="1:39" x14ac:dyDescent="0.25">
      <c r="O58" s="2">
        <v>1</v>
      </c>
      <c r="R58" s="2">
        <v>1</v>
      </c>
      <c r="T58" s="2">
        <v>2</v>
      </c>
      <c r="U58" s="2">
        <v>1</v>
      </c>
      <c r="W58" s="2" t="s">
        <v>6</v>
      </c>
      <c r="X58" s="2">
        <f t="shared" si="10"/>
        <v>5</v>
      </c>
      <c r="Z58" s="9" t="s">
        <v>57</v>
      </c>
      <c r="AA58" s="9" t="s">
        <v>47</v>
      </c>
      <c r="AH58" s="9" t="s">
        <v>63</v>
      </c>
    </row>
    <row r="59" spans="1:39" x14ac:dyDescent="0.25">
      <c r="A59" s="2">
        <v>1</v>
      </c>
      <c r="B59" s="2">
        <v>1</v>
      </c>
      <c r="I59" s="2">
        <v>1</v>
      </c>
      <c r="W59" s="2" t="s">
        <v>10</v>
      </c>
      <c r="X59" s="2">
        <f t="shared" si="10"/>
        <v>3</v>
      </c>
      <c r="Z59" s="9" t="s">
        <v>58</v>
      </c>
      <c r="AA59" s="9" t="s">
        <v>48</v>
      </c>
      <c r="AH59" s="9" t="s">
        <v>44</v>
      </c>
    </row>
    <row r="60" spans="1:39" x14ac:dyDescent="0.25">
      <c r="A60" s="2">
        <v>1</v>
      </c>
      <c r="I60" s="2">
        <v>1</v>
      </c>
      <c r="M60" s="2">
        <v>1</v>
      </c>
      <c r="W60" s="2" t="s">
        <v>12</v>
      </c>
      <c r="X60" s="2">
        <f t="shared" si="10"/>
        <v>3</v>
      </c>
      <c r="Z60" s="9" t="s">
        <v>59</v>
      </c>
      <c r="AA60" s="9" t="s">
        <v>43</v>
      </c>
      <c r="AH60" s="9" t="s">
        <v>45</v>
      </c>
    </row>
    <row r="61" spans="1:39" x14ac:dyDescent="0.25">
      <c r="O61" s="2">
        <v>1</v>
      </c>
      <c r="P61" s="2">
        <v>1</v>
      </c>
      <c r="S61" s="2">
        <v>1</v>
      </c>
      <c r="W61" s="2" t="s">
        <v>11</v>
      </c>
      <c r="X61" s="2">
        <f t="shared" si="10"/>
        <v>3</v>
      </c>
      <c r="Z61" s="9" t="s">
        <v>60</v>
      </c>
      <c r="AA61" s="9" t="s">
        <v>44</v>
      </c>
      <c r="AH61" s="9" t="s">
        <v>65</v>
      </c>
    </row>
    <row r="62" spans="1:39" x14ac:dyDescent="0.25">
      <c r="D62" s="2">
        <v>1</v>
      </c>
      <c r="P62" s="2">
        <v>1</v>
      </c>
      <c r="S62" s="2">
        <v>1</v>
      </c>
      <c r="W62" s="2" t="s">
        <v>13</v>
      </c>
      <c r="X62" s="2">
        <f t="shared" si="10"/>
        <v>3</v>
      </c>
      <c r="Z62" s="9" t="s">
        <v>61</v>
      </c>
      <c r="AA62" s="9" t="s">
        <v>45</v>
      </c>
      <c r="AH62" s="9" t="s">
        <v>48</v>
      </c>
    </row>
    <row r="63" spans="1:39" x14ac:dyDescent="0.25">
      <c r="E63" s="2">
        <v>1</v>
      </c>
      <c r="S63" s="2">
        <v>1</v>
      </c>
      <c r="T63" s="2">
        <v>1</v>
      </c>
      <c r="W63" s="2" t="s">
        <v>9</v>
      </c>
      <c r="X63" s="2">
        <f t="shared" si="10"/>
        <v>3</v>
      </c>
      <c r="Z63" s="9" t="s">
        <v>62</v>
      </c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Roman,Regular"&amp;12&amp;A</oddHeader>
    <oddFooter>&amp;C&amp;"Times New Roman,Regular"&amp;12Página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128"/>
  <sheetViews>
    <sheetView showZeros="0" zoomScale="75" zoomScaleNormal="75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BD19" sqref="BD19"/>
    </sheetView>
  </sheetViews>
  <sheetFormatPr defaultRowHeight="15" x14ac:dyDescent="0.25"/>
  <cols>
    <col min="1" max="1" width="13.28515625" style="2" customWidth="1"/>
    <col min="2" max="2" width="3.140625" style="2" customWidth="1"/>
    <col min="3" max="3" width="7.28515625" style="16" customWidth="1"/>
    <col min="4" max="4" width="2.140625" style="2" customWidth="1"/>
    <col min="5" max="5" width="7.28515625" style="15" customWidth="1"/>
    <col min="6" max="6" width="2.140625" style="2" customWidth="1"/>
    <col min="7" max="7" width="7.28515625" style="2" customWidth="1"/>
    <col min="8" max="8" width="2.140625" style="2" customWidth="1"/>
    <col min="9" max="9" width="7.28515625" style="2" customWidth="1"/>
    <col min="10" max="10" width="2.140625" style="2" customWidth="1"/>
    <col min="11" max="11" width="7.28515625" style="2" customWidth="1"/>
    <col min="12" max="12" width="2.140625" style="2" customWidth="1"/>
    <col min="13" max="13" width="7.28515625" style="2" customWidth="1"/>
    <col min="14" max="14" width="2.140625" style="2" customWidth="1"/>
    <col min="15" max="15" width="2.7109375" style="2" customWidth="1"/>
    <col min="16" max="16" width="2.140625" style="2" customWidth="1"/>
    <col min="17" max="17" width="2.85546875" style="2" customWidth="1"/>
    <col min="18" max="18" width="2.140625" style="2" customWidth="1"/>
    <col min="19" max="19" width="7.28515625" style="2" customWidth="1"/>
    <col min="20" max="20" width="2.140625" style="2" customWidth="1"/>
    <col min="21" max="21" width="7.28515625" style="2" customWidth="1"/>
    <col min="22" max="22" width="2.140625" style="2" customWidth="1"/>
    <col min="23" max="23" width="3" style="2" customWidth="1"/>
    <col min="24" max="24" width="2.140625" style="2" customWidth="1"/>
    <col min="25" max="25" width="3.28515625" style="2" customWidth="1"/>
    <col min="26" max="26" width="2.140625" style="2" customWidth="1"/>
    <col min="27" max="27" width="7.28515625" style="2" customWidth="1"/>
    <col min="28" max="28" width="2.140625" style="2" customWidth="1"/>
    <col min="29" max="29" width="7.28515625" style="2" customWidth="1"/>
    <col min="30" max="30" width="2.140625" style="2" customWidth="1"/>
    <col min="31" max="31" width="7.28515625" style="2" customWidth="1"/>
    <col min="32" max="32" width="3.140625" style="2" customWidth="1"/>
    <col min="33" max="33" width="7.28515625" style="2" customWidth="1"/>
    <col min="34" max="34" width="2.140625" style="2" customWidth="1"/>
    <col min="35" max="35" width="7.28515625" style="2" customWidth="1"/>
    <col min="36" max="36" width="2.140625" style="2" customWidth="1"/>
    <col min="37" max="37" width="2.42578125" style="2" customWidth="1"/>
    <col min="38" max="38" width="2.140625" style="2" customWidth="1"/>
    <col min="39" max="39" width="7.28515625" style="2" customWidth="1"/>
    <col min="40" max="40" width="2.140625" style="2" customWidth="1"/>
    <col min="41" max="41" width="7.28515625" style="2" customWidth="1"/>
    <col min="42" max="42" width="3.140625" style="2" customWidth="1"/>
    <col min="43" max="43" width="7.28515625" style="2" customWidth="1"/>
    <col min="44" max="44" width="2.140625" style="2" customWidth="1"/>
    <col min="45" max="45" width="7.28515625" style="2" customWidth="1"/>
    <col min="46" max="46" width="2.140625" style="2" customWidth="1"/>
    <col min="47" max="47" width="1.85546875" style="2" customWidth="1"/>
    <col min="48" max="48" width="2.140625" style="2" customWidth="1"/>
    <col min="49" max="49" width="2" style="2" customWidth="1"/>
    <col min="50" max="50" width="2.140625" style="2" customWidth="1"/>
    <col min="51" max="51" width="2.42578125" style="2" customWidth="1"/>
    <col min="52" max="52" width="2.140625" style="2" customWidth="1"/>
    <col min="53" max="53" width="2.42578125" style="2" customWidth="1"/>
    <col min="54" max="54" width="2.140625" style="2" customWidth="1"/>
    <col min="55" max="55" width="2" style="2" customWidth="1"/>
    <col min="56" max="69" width="3.140625" style="2" customWidth="1"/>
    <col min="70" max="75" width="9.140625" style="2" customWidth="1"/>
    <col min="76" max="76" width="2.140625" style="2" customWidth="1"/>
    <col min="77" max="1025" width="9.140625" style="2" customWidth="1"/>
  </cols>
  <sheetData>
    <row r="1" spans="1:70" ht="15.75" x14ac:dyDescent="0.3">
      <c r="D1" s="1" t="s">
        <v>14</v>
      </c>
      <c r="E1" s="1"/>
      <c r="F1" s="1" t="s">
        <v>15</v>
      </c>
      <c r="G1" s="1"/>
      <c r="H1" s="1" t="s">
        <v>16</v>
      </c>
      <c r="I1" s="1"/>
      <c r="J1" s="1" t="s">
        <v>17</v>
      </c>
      <c r="K1" s="1"/>
      <c r="L1" s="1" t="s">
        <v>18</v>
      </c>
      <c r="M1" s="1"/>
      <c r="N1" s="1" t="s">
        <v>19</v>
      </c>
      <c r="O1" s="1"/>
      <c r="P1" s="1" t="s">
        <v>20</v>
      </c>
      <c r="Q1" s="1"/>
      <c r="R1" s="1" t="s">
        <v>21</v>
      </c>
      <c r="S1" s="1"/>
      <c r="T1" s="1" t="s">
        <v>22</v>
      </c>
      <c r="U1" s="1"/>
      <c r="V1" s="1" t="s">
        <v>23</v>
      </c>
      <c r="W1" s="1"/>
      <c r="X1" s="1" t="s">
        <v>24</v>
      </c>
      <c r="Y1" s="1"/>
      <c r="Z1" s="1" t="s">
        <v>25</v>
      </c>
      <c r="AA1" s="1"/>
      <c r="AB1" s="1" t="s">
        <v>26</v>
      </c>
      <c r="AC1" s="1"/>
      <c r="AD1" s="1" t="s">
        <v>27</v>
      </c>
      <c r="AE1" s="1"/>
      <c r="AF1" s="1" t="s">
        <v>28</v>
      </c>
      <c r="AG1" s="1"/>
      <c r="AH1" s="1" t="s">
        <v>29</v>
      </c>
      <c r="AI1" s="1"/>
      <c r="AJ1" s="1" t="s">
        <v>30</v>
      </c>
      <c r="AK1" s="1"/>
      <c r="AL1" s="1" t="s">
        <v>31</v>
      </c>
      <c r="AM1" s="1"/>
      <c r="AN1" s="1" t="s">
        <v>32</v>
      </c>
      <c r="AO1" s="1"/>
      <c r="AP1" s="1" t="s">
        <v>33</v>
      </c>
      <c r="AQ1" s="1"/>
      <c r="AR1" s="1" t="s">
        <v>34</v>
      </c>
      <c r="AS1" s="1"/>
      <c r="AT1" s="1" t="s">
        <v>35</v>
      </c>
      <c r="AU1" s="1"/>
      <c r="AV1" s="1" t="s">
        <v>36</v>
      </c>
      <c r="AW1" s="1"/>
      <c r="AX1" s="1" t="s">
        <v>37</v>
      </c>
      <c r="AY1" s="1"/>
      <c r="AZ1" s="1" t="s">
        <v>38</v>
      </c>
      <c r="BA1" s="1"/>
      <c r="BB1" s="1" t="s">
        <v>39</v>
      </c>
      <c r="BC1" s="1"/>
    </row>
    <row r="2" spans="1:70" ht="15.75" x14ac:dyDescent="0.3">
      <c r="D2" s="17">
        <f>SUM(D3:D16)</f>
        <v>9</v>
      </c>
      <c r="E2" s="18"/>
      <c r="F2" s="17">
        <f>SUM(F3:F16)</f>
        <v>5</v>
      </c>
      <c r="G2" s="17"/>
      <c r="H2" s="17">
        <f>SUM(H3:H16)</f>
        <v>3</v>
      </c>
      <c r="I2" s="17"/>
      <c r="J2" s="17">
        <f>SUM(J3:J16)</f>
        <v>2</v>
      </c>
      <c r="K2" s="17"/>
      <c r="L2" s="17">
        <f>SUM(L3:L16)</f>
        <v>8</v>
      </c>
      <c r="M2" s="17"/>
      <c r="N2" s="17">
        <f>SUM(N3:N16)</f>
        <v>0</v>
      </c>
      <c r="O2" s="17"/>
      <c r="P2" s="17">
        <f>SUM(P3:P16)</f>
        <v>0</v>
      </c>
      <c r="Q2" s="17"/>
      <c r="R2" s="17">
        <f>SUM(R3:R16)</f>
        <v>2</v>
      </c>
      <c r="S2" s="17"/>
      <c r="T2" s="17">
        <f>SUM(T3:T16)</f>
        <v>7</v>
      </c>
      <c r="U2" s="17"/>
      <c r="V2" s="17">
        <f>SUM(V3:V16)</f>
        <v>0</v>
      </c>
      <c r="W2" s="17"/>
      <c r="X2" s="17">
        <f>SUM(X3:X16)</f>
        <v>0</v>
      </c>
      <c r="Y2" s="17"/>
      <c r="Z2" s="17">
        <f>SUM(Z3:Z16)</f>
        <v>2</v>
      </c>
      <c r="AA2" s="17"/>
      <c r="AB2" s="17">
        <f>SUM(AB3:AB16)</f>
        <v>2</v>
      </c>
      <c r="AC2" s="17"/>
      <c r="AD2" s="17">
        <f>SUM(AD3:AD16)</f>
        <v>2</v>
      </c>
      <c r="AE2" s="19"/>
      <c r="AF2" s="17">
        <f>SUM(AF3:AF16)</f>
        <v>10</v>
      </c>
      <c r="AG2" s="19"/>
      <c r="AH2" s="17">
        <f>SUM(AH3:AH16)</f>
        <v>1</v>
      </c>
      <c r="AI2" s="19"/>
      <c r="AJ2" s="17">
        <f>SUM(AJ3:AJ16)</f>
        <v>0</v>
      </c>
      <c r="AK2" s="19"/>
      <c r="AL2" s="17">
        <f>SUM(AL3:AL16)</f>
        <v>7</v>
      </c>
      <c r="AM2" s="19"/>
      <c r="AN2" s="17">
        <f>SUM(AN3:AN16)</f>
        <v>7</v>
      </c>
      <c r="AO2" s="19"/>
      <c r="AP2" s="17">
        <f>SUM(AP3:AP16)</f>
        <v>10</v>
      </c>
      <c r="AQ2" s="19"/>
      <c r="AR2" s="17">
        <f>SUM(AR3:AR16)</f>
        <v>3</v>
      </c>
      <c r="AS2" s="19"/>
      <c r="AT2" s="17">
        <f>SUM(AT3:AT16)</f>
        <v>0</v>
      </c>
      <c r="AU2" s="19"/>
      <c r="AV2" s="17">
        <f>SUM(AV3:AV16)</f>
        <v>0</v>
      </c>
      <c r="AW2" s="19"/>
      <c r="AX2" s="17">
        <f>SUM(AX3:AX16)</f>
        <v>0</v>
      </c>
      <c r="AY2" s="19"/>
      <c r="AZ2" s="17">
        <f>SUM(AZ3:AZ16)</f>
        <v>0</v>
      </c>
      <c r="BA2" s="19"/>
      <c r="BB2" s="17">
        <f>SUM(BB3:BB16)</f>
        <v>0</v>
      </c>
      <c r="BD2" s="9"/>
      <c r="BE2" s="9" t="s">
        <v>50</v>
      </c>
      <c r="BF2" s="9" t="s">
        <v>51</v>
      </c>
      <c r="BG2" s="9" t="s">
        <v>52</v>
      </c>
      <c r="BH2" s="9" t="s">
        <v>53</v>
      </c>
      <c r="BI2" s="9" t="s">
        <v>54</v>
      </c>
      <c r="BJ2" s="9" t="s">
        <v>55</v>
      </c>
      <c r="BK2" s="9" t="s">
        <v>56</v>
      </c>
      <c r="BL2" s="9" t="s">
        <v>57</v>
      </c>
      <c r="BM2" s="9" t="s">
        <v>58</v>
      </c>
      <c r="BN2" s="9" t="s">
        <v>59</v>
      </c>
      <c r="BO2" s="9" t="s">
        <v>60</v>
      </c>
      <c r="BP2" s="9" t="s">
        <v>61</v>
      </c>
      <c r="BQ2" s="9" t="s">
        <v>62</v>
      </c>
      <c r="BR2"/>
    </row>
    <row r="3" spans="1:70" x14ac:dyDescent="0.25">
      <c r="A3" s="2" t="s">
        <v>0</v>
      </c>
      <c r="B3" s="2">
        <f t="shared" ref="B3:B15" si="0">LEN(A3)</f>
        <v>12</v>
      </c>
      <c r="C3" s="15">
        <f t="shared" ref="C3:C15" si="1">E3+G3+I3+K3+M3+O3+Q3+S3+U3+W3+Y3+AA3+AC3+AE3+AG3+AI3+AK3+AM3+AO3+AQ3+AS3+AU3+AW3+AY3+BA3+BC3</f>
        <v>2.2575396825396825</v>
      </c>
      <c r="D3" s="2">
        <v>1</v>
      </c>
      <c r="E3" s="15">
        <f>IF(D2=0,0,D3/D2)</f>
        <v>0.1111111111111111</v>
      </c>
      <c r="G3" s="15">
        <f>IF(F2=0,0,F3/F2)</f>
        <v>0</v>
      </c>
      <c r="I3" s="15">
        <f>IF(H2=0,0,H3/H2)</f>
        <v>0</v>
      </c>
      <c r="K3" s="15">
        <f>IF(J2=0,0,J3/J2)</f>
        <v>0</v>
      </c>
      <c r="L3" s="2">
        <v>3</v>
      </c>
      <c r="M3" s="15">
        <f>IF(L2=0,0,L3/L2)</f>
        <v>0.375</v>
      </c>
      <c r="O3" s="15">
        <f>IF(N2=0,0,N3/N2)</f>
        <v>0</v>
      </c>
      <c r="Q3" s="15">
        <f>IF(P2=0,0,P3/P2)</f>
        <v>0</v>
      </c>
      <c r="S3" s="15">
        <f>IF(R2=0,0,R3/R2)</f>
        <v>0</v>
      </c>
      <c r="T3" s="2">
        <v>1</v>
      </c>
      <c r="U3" s="15">
        <f>IF(T2=0,0,T3/T2)</f>
        <v>0.14285714285714285</v>
      </c>
      <c r="W3" s="15">
        <f>IF(V2=0,0,V3/V2)</f>
        <v>0</v>
      </c>
      <c r="Y3" s="15">
        <f>IF(X2=0,0,X3/X2)</f>
        <v>0</v>
      </c>
      <c r="AA3" s="15">
        <f>IF(Z2=0,0,Z3/Z2)</f>
        <v>0</v>
      </c>
      <c r="AC3" s="15">
        <f>IF(AB2=0,0,AB3/AB2)</f>
        <v>0</v>
      </c>
      <c r="AD3" s="2">
        <v>2</v>
      </c>
      <c r="AE3" s="15">
        <f>IF(AD2=0,0,AD3/AD2)</f>
        <v>1</v>
      </c>
      <c r="AG3" s="15">
        <f>IF(AF2=0,0,AF3/AF2)</f>
        <v>0</v>
      </c>
      <c r="AI3" s="15">
        <f>IF(AH2=0,0,AH3/AH2)</f>
        <v>0</v>
      </c>
      <c r="AK3" s="15">
        <f>IF(AJ2=0,0,AJ3/AJ2)</f>
        <v>0</v>
      </c>
      <c r="AL3" s="2">
        <v>1</v>
      </c>
      <c r="AM3" s="15">
        <f>IF(AL2=0,0,AL3/AL2)</f>
        <v>0.14285714285714285</v>
      </c>
      <c r="AN3" s="2">
        <v>2</v>
      </c>
      <c r="AO3" s="15">
        <f>IF(AN2=0,0,AN3/AN2)</f>
        <v>0.2857142857142857</v>
      </c>
      <c r="AP3" s="2">
        <v>2</v>
      </c>
      <c r="AQ3" s="15">
        <f>IF(AP2=0,0,AP3/AP2)</f>
        <v>0.2</v>
      </c>
      <c r="AS3" s="15">
        <f>IF(AR2=0,0,AR3/AR2)</f>
        <v>0</v>
      </c>
      <c r="AU3" s="15">
        <f>IF(AT2=0,0,AT3/AT2)</f>
        <v>0</v>
      </c>
      <c r="AW3" s="15">
        <f>IF(AV2=0,0,AV3/AV2)</f>
        <v>0</v>
      </c>
      <c r="AY3" s="15">
        <f>IF(AX2=0,0,AX3/AX2)</f>
        <v>0</v>
      </c>
      <c r="BA3" s="15">
        <f>IF(AZ2=0,0,AZ3/AZ2)</f>
        <v>0</v>
      </c>
      <c r="BC3" s="15">
        <f>IF(BB2=0,0,BB3/BB2)</f>
        <v>0</v>
      </c>
      <c r="BD3" s="9" t="s">
        <v>51</v>
      </c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/>
    </row>
    <row r="4" spans="1:70" x14ac:dyDescent="0.25">
      <c r="A4" s="2" t="s">
        <v>2</v>
      </c>
      <c r="B4" s="2">
        <f t="shared" si="0"/>
        <v>9</v>
      </c>
      <c r="C4" s="15">
        <f t="shared" si="1"/>
        <v>1.8884920634920634</v>
      </c>
      <c r="D4" s="2">
        <v>1</v>
      </c>
      <c r="E4" s="15">
        <f>IF(D2=0,0,D4/D2)</f>
        <v>0.1111111111111111</v>
      </c>
      <c r="G4" s="15">
        <f>IF(F2=0,0,F4/F2)</f>
        <v>0</v>
      </c>
      <c r="H4" s="2">
        <v>2</v>
      </c>
      <c r="I4" s="15">
        <f>IF(H2=0,0,H4/H2)</f>
        <v>0.66666666666666663</v>
      </c>
      <c r="J4" s="2">
        <v>1</v>
      </c>
      <c r="K4" s="15">
        <f>IF(J2=0,0,J4/J2)</f>
        <v>0.5</v>
      </c>
      <c r="L4" s="2">
        <v>1</v>
      </c>
      <c r="M4" s="15">
        <f>IF(L2=0,0,L4/L2)</f>
        <v>0.125</v>
      </c>
      <c r="O4" s="15">
        <f>IF(N2=0,0,N4/N2)</f>
        <v>0</v>
      </c>
      <c r="Q4" s="15">
        <f>IF(P2=0,0,P4/P2)</f>
        <v>0</v>
      </c>
      <c r="S4" s="15">
        <f>IF(R2=0,0,R4/R2)</f>
        <v>0</v>
      </c>
      <c r="T4" s="2">
        <v>1</v>
      </c>
      <c r="U4" s="15">
        <f>IF(T2=0,0,T4/T2)</f>
        <v>0.14285714285714285</v>
      </c>
      <c r="W4" s="15">
        <f>IF(V2=0,0,V4/V2)</f>
        <v>0</v>
      </c>
      <c r="Y4" s="15">
        <f>IF(X2=0,0,X4/X2)</f>
        <v>0</v>
      </c>
      <c r="AA4" s="15">
        <f>IF(Z2=0,0,Z4/Z2)</f>
        <v>0</v>
      </c>
      <c r="AC4" s="15">
        <f>IF(AB2=0,0,AB4/AB2)</f>
        <v>0</v>
      </c>
      <c r="AE4" s="15">
        <f>IF(AD2=0,0,AD4/AD2)</f>
        <v>0</v>
      </c>
      <c r="AF4" s="2">
        <v>1</v>
      </c>
      <c r="AG4" s="15">
        <f>IF(AF2=0,0,AF4/AF2)</f>
        <v>0.1</v>
      </c>
      <c r="AI4" s="15">
        <f>IF(AH2=0,0,AH4/AH2)</f>
        <v>0</v>
      </c>
      <c r="AK4" s="15">
        <f>IF(AJ2=0,0,AJ4/AJ2)</f>
        <v>0</v>
      </c>
      <c r="AM4" s="15">
        <f>IF(AL2=0,0,AL4/AL2)</f>
        <v>0</v>
      </c>
      <c r="AN4" s="2">
        <v>1</v>
      </c>
      <c r="AO4" s="15">
        <f>IF(AN2=0,0,AN4/AN2)</f>
        <v>0.14285714285714285</v>
      </c>
      <c r="AP4" s="2">
        <v>1</v>
      </c>
      <c r="AQ4" s="15">
        <f>IF(AP2=0,0,AP4/AP2)</f>
        <v>0.1</v>
      </c>
      <c r="AS4" s="15">
        <f>IF(AR2=0,0,AR4/AR2)</f>
        <v>0</v>
      </c>
      <c r="AU4" s="15">
        <f>IF(AT2=0,0,AT4/AT2)</f>
        <v>0</v>
      </c>
      <c r="AW4" s="15">
        <f>IF(AV2=0,0,AV4/AV2)</f>
        <v>0</v>
      </c>
      <c r="AY4" s="15">
        <f>IF(AX2=0,0,AX4/AX2)</f>
        <v>0</v>
      </c>
      <c r="BA4" s="15">
        <f>IF(AZ2=0,0,AZ4/AZ2)</f>
        <v>0</v>
      </c>
      <c r="BC4" s="15">
        <f>IF(BB2=0,0,BB4/BB2)</f>
        <v>0</v>
      </c>
      <c r="BD4" s="9" t="s">
        <v>52</v>
      </c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/>
    </row>
    <row r="5" spans="1:70" x14ac:dyDescent="0.25">
      <c r="A5" s="2" t="s">
        <v>1</v>
      </c>
      <c r="B5" s="2">
        <f t="shared" si="0"/>
        <v>9</v>
      </c>
      <c r="C5" s="15">
        <f t="shared" si="1"/>
        <v>1.5535714285714284</v>
      </c>
      <c r="E5" s="15">
        <f>IF(D2=0,0,D5/D2)</f>
        <v>0</v>
      </c>
      <c r="F5" s="2">
        <v>1</v>
      </c>
      <c r="G5" s="15">
        <f>IF(F2=0,0,F5/F2)</f>
        <v>0.2</v>
      </c>
      <c r="I5" s="15">
        <f>IF(H2=0,0,H5/H2)</f>
        <v>0</v>
      </c>
      <c r="J5" s="2">
        <v>1</v>
      </c>
      <c r="K5" s="15">
        <f>IF(J2=0,0,J5/J2)</f>
        <v>0.5</v>
      </c>
      <c r="L5" s="2">
        <v>1</v>
      </c>
      <c r="M5" s="15">
        <f>IF(L2=0,0,L5/L2)</f>
        <v>0.125</v>
      </c>
      <c r="O5" s="15">
        <f>IF(N2=0,0,N5/N2)</f>
        <v>0</v>
      </c>
      <c r="Q5" s="15">
        <f>IF(P2=0,0,P5/P2)</f>
        <v>0</v>
      </c>
      <c r="S5" s="15">
        <f>IF(R2=0,0,R5/R2)</f>
        <v>0</v>
      </c>
      <c r="T5" s="2">
        <v>1</v>
      </c>
      <c r="U5" s="15">
        <f>IF(T2=0,0,T5/T2)</f>
        <v>0.14285714285714285</v>
      </c>
      <c r="W5" s="15">
        <f>IF(V2=0,0,V5/V2)</f>
        <v>0</v>
      </c>
      <c r="Y5" s="15">
        <f>IF(X2=0,0,X5/X2)</f>
        <v>0</v>
      </c>
      <c r="AA5" s="15">
        <f>IF(Z2=0,0,Z5/Z2)</f>
        <v>0</v>
      </c>
      <c r="AC5" s="15">
        <f>IF(AB2=0,0,AB5/AB2)</f>
        <v>0</v>
      </c>
      <c r="AE5" s="15">
        <f>IF(AD2=0,0,AD5/AD2)</f>
        <v>0</v>
      </c>
      <c r="AF5" s="2">
        <v>2</v>
      </c>
      <c r="AG5" s="15">
        <f>IF(AF2=0,0,AF5/AF2)</f>
        <v>0.2</v>
      </c>
      <c r="AI5" s="15">
        <f>IF(AH2=0,0,AH5/AH2)</f>
        <v>0</v>
      </c>
      <c r="AK5" s="15">
        <f>IF(AJ2=0,0,AJ5/AJ2)</f>
        <v>0</v>
      </c>
      <c r="AL5" s="2">
        <v>1</v>
      </c>
      <c r="AM5" s="15">
        <f>IF(AL2=0,0,AL5/AL2)</f>
        <v>0.14285714285714285</v>
      </c>
      <c r="AN5" s="2">
        <v>1</v>
      </c>
      <c r="AO5" s="15">
        <f>IF(AN2=0,0,AN5/AN2)</f>
        <v>0.14285714285714285</v>
      </c>
      <c r="AP5" s="2">
        <v>1</v>
      </c>
      <c r="AQ5" s="15">
        <f>IF(AP2=0,0,AP5/AP2)</f>
        <v>0.1</v>
      </c>
      <c r="AS5" s="15">
        <f>IF(AR2=0,0,AR5/AR2)</f>
        <v>0</v>
      </c>
      <c r="AU5" s="15">
        <f>IF(AT2=0,0,AT5/AT2)</f>
        <v>0</v>
      </c>
      <c r="AW5" s="15">
        <f>IF(AV2=0,0,AV5/AV2)</f>
        <v>0</v>
      </c>
      <c r="AY5" s="15">
        <f>IF(AX2=0,0,AX5/AX2)</f>
        <v>0</v>
      </c>
      <c r="BA5" s="15">
        <f>IF(AZ2=0,0,AZ5/AZ2)</f>
        <v>0</v>
      </c>
      <c r="BC5" s="15">
        <f>IF(BB2=0,0,BB5/BB2)</f>
        <v>0</v>
      </c>
      <c r="BD5" s="9" t="s">
        <v>53</v>
      </c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/>
    </row>
    <row r="6" spans="1:70" x14ac:dyDescent="0.25">
      <c r="A6" s="2" t="s">
        <v>3</v>
      </c>
      <c r="B6" s="2">
        <f t="shared" si="0"/>
        <v>7</v>
      </c>
      <c r="C6" s="15">
        <f t="shared" si="1"/>
        <v>1.0984126984126985</v>
      </c>
      <c r="D6" s="2">
        <v>2</v>
      </c>
      <c r="E6" s="15">
        <f>IF(D2=0,0,D6/D2)</f>
        <v>0.22222222222222221</v>
      </c>
      <c r="F6" s="2">
        <v>1</v>
      </c>
      <c r="G6" s="15">
        <f>IF(F2=0,0,F6/F2)</f>
        <v>0.2</v>
      </c>
      <c r="I6" s="15">
        <f>IF(H2=0,0,H6/H2)</f>
        <v>0</v>
      </c>
      <c r="K6" s="15">
        <f>IF(J2=0,0,J6/J2)</f>
        <v>0</v>
      </c>
      <c r="M6" s="15">
        <f>IF(L2=0,0,L6/L2)</f>
        <v>0</v>
      </c>
      <c r="O6" s="15">
        <f>IF(N2=0,0,N6/N2)</f>
        <v>0</v>
      </c>
      <c r="Q6" s="15">
        <f>IF(P2=0,0,P6/P2)</f>
        <v>0</v>
      </c>
      <c r="S6" s="15">
        <f>IF(R2=0,0,R6/R2)</f>
        <v>0</v>
      </c>
      <c r="U6" s="15">
        <f>IF(T2=0,0,T6/T2)</f>
        <v>0</v>
      </c>
      <c r="W6" s="15">
        <f>IF(V2=0,0,V6/V2)</f>
        <v>0</v>
      </c>
      <c r="Y6" s="15">
        <f>IF(X2=0,0,X6/X2)</f>
        <v>0</v>
      </c>
      <c r="AA6" s="15">
        <f>IF(Z2=0,0,Z6/Z2)</f>
        <v>0</v>
      </c>
      <c r="AC6" s="15">
        <f>IF(AB2=0,0,AB6/AB2)</f>
        <v>0</v>
      </c>
      <c r="AE6" s="15">
        <f>IF(AD2=0,0,AD6/AD2)</f>
        <v>0</v>
      </c>
      <c r="AF6" s="2">
        <v>1</v>
      </c>
      <c r="AG6" s="15">
        <f>IF(AF2=0,0,AF6/AF2)</f>
        <v>0.1</v>
      </c>
      <c r="AI6" s="15">
        <f>IF(AH2=0,0,AH6/AH2)</f>
        <v>0</v>
      </c>
      <c r="AK6" s="15">
        <f>IF(AJ2=0,0,AJ6/AJ2)</f>
        <v>0</v>
      </c>
      <c r="AL6" s="2">
        <v>1</v>
      </c>
      <c r="AM6" s="15">
        <f>IF(AL2=0,0,AL6/AL2)</f>
        <v>0.14285714285714285</v>
      </c>
      <c r="AO6" s="15">
        <f>IF(AN2=0,0,AN6/AN2)</f>
        <v>0</v>
      </c>
      <c r="AP6" s="2">
        <v>1</v>
      </c>
      <c r="AQ6" s="15">
        <f>IF(AP2=0,0,AP6/AP2)</f>
        <v>0.1</v>
      </c>
      <c r="AR6" s="2">
        <v>1</v>
      </c>
      <c r="AS6" s="15">
        <f>IF(AR2=0,0,AR6/AR2)</f>
        <v>0.33333333333333331</v>
      </c>
      <c r="AU6" s="15">
        <f>IF(AT2=0,0,AT6/AT2)</f>
        <v>0</v>
      </c>
      <c r="AW6" s="15">
        <f>IF(AV2=0,0,AV6/AV2)</f>
        <v>0</v>
      </c>
      <c r="AY6" s="15">
        <f>IF(AX2=0,0,AX6/AX2)</f>
        <v>0</v>
      </c>
      <c r="BA6" s="15">
        <f>IF(AZ2=0,0,AZ6/AZ2)</f>
        <v>0</v>
      </c>
      <c r="BC6" s="15">
        <f>IF(BB2=0,0,BB6/BB2)</f>
        <v>0</v>
      </c>
      <c r="BD6" s="9" t="s">
        <v>54</v>
      </c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/>
    </row>
    <row r="7" spans="1:70" x14ac:dyDescent="0.25">
      <c r="A7" s="2" t="s">
        <v>5</v>
      </c>
      <c r="B7" s="2">
        <f t="shared" si="0"/>
        <v>7</v>
      </c>
      <c r="C7" s="15">
        <f t="shared" si="1"/>
        <v>1.265079365079365</v>
      </c>
      <c r="D7" s="2">
        <v>2</v>
      </c>
      <c r="E7" s="15">
        <f>IF(D2=0,0,D7/D2)</f>
        <v>0.22222222222222221</v>
      </c>
      <c r="F7" s="2">
        <v>1</v>
      </c>
      <c r="G7" s="15">
        <f>IF(F2=0,0,F7/F2)</f>
        <v>0.2</v>
      </c>
      <c r="I7" s="15">
        <f>IF(H2=0,0,H7/H2)</f>
        <v>0</v>
      </c>
      <c r="K7" s="15">
        <f>IF(J2=0,0,J7/J2)</f>
        <v>0</v>
      </c>
      <c r="M7" s="15">
        <f>IF(L2=0,0,L7/L2)</f>
        <v>0</v>
      </c>
      <c r="O7" s="15">
        <f>IF(N2=0,0,N7/N2)</f>
        <v>0</v>
      </c>
      <c r="Q7" s="15">
        <f>IF(P2=0,0,P7/P2)</f>
        <v>0</v>
      </c>
      <c r="R7" s="2">
        <v>1</v>
      </c>
      <c r="S7" s="15">
        <f>IF(R2=0,0,R7/R2)</f>
        <v>0.5</v>
      </c>
      <c r="T7" s="2">
        <v>1</v>
      </c>
      <c r="U7" s="15">
        <f>IF(T2=0,0,T7/T2)</f>
        <v>0.14285714285714285</v>
      </c>
      <c r="W7" s="15">
        <f>IF(V2=0,0,V7/V2)</f>
        <v>0</v>
      </c>
      <c r="Y7" s="15">
        <f>IF(X2=0,0,X7/X2)</f>
        <v>0</v>
      </c>
      <c r="AA7" s="15">
        <f>IF(Z2=0,0,Z7/Z2)</f>
        <v>0</v>
      </c>
      <c r="AC7" s="15">
        <f>IF(AB2=0,0,AB7/AB2)</f>
        <v>0</v>
      </c>
      <c r="AE7" s="15">
        <f>IF(AD2=0,0,AD7/AD2)</f>
        <v>0</v>
      </c>
      <c r="AG7" s="15">
        <f>IF(AF2=0,0,AF7/AF2)</f>
        <v>0</v>
      </c>
      <c r="AI7" s="15">
        <f>IF(AH2=0,0,AH7/AH2)</f>
        <v>0</v>
      </c>
      <c r="AK7" s="15">
        <f>IF(AJ2=0,0,AJ7/AJ2)</f>
        <v>0</v>
      </c>
      <c r="AM7" s="15">
        <f>IF(AL2=0,0,AL7/AL2)</f>
        <v>0</v>
      </c>
      <c r="AO7" s="15">
        <f>IF(AN2=0,0,AN7/AN2)</f>
        <v>0</v>
      </c>
      <c r="AP7" s="2">
        <v>2</v>
      </c>
      <c r="AQ7" s="15">
        <f>IF(AP2=0,0,AP7/AP2)</f>
        <v>0.2</v>
      </c>
      <c r="AS7" s="15">
        <f>IF(AR2=0,0,AR7/AR2)</f>
        <v>0</v>
      </c>
      <c r="AU7" s="15">
        <f>IF(AT2=0,0,AT7/AT2)</f>
        <v>0</v>
      </c>
      <c r="AW7" s="15">
        <f>IF(AV2=0,0,AV7/AV2)</f>
        <v>0</v>
      </c>
      <c r="AY7" s="15">
        <f>IF(AX2=0,0,AX7/AX2)</f>
        <v>0</v>
      </c>
      <c r="BA7" s="15">
        <f>IF(AZ2=0,0,AZ7/AZ2)</f>
        <v>0</v>
      </c>
      <c r="BC7" s="15">
        <f>IF(BB2=0,0,BB7/BB2)</f>
        <v>0</v>
      </c>
      <c r="BD7" s="9" t="s">
        <v>55</v>
      </c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/>
    </row>
    <row r="8" spans="1:70" x14ac:dyDescent="0.25">
      <c r="A8" s="2" t="s">
        <v>4</v>
      </c>
      <c r="B8" s="2">
        <f t="shared" si="0"/>
        <v>7</v>
      </c>
      <c r="C8" s="15">
        <f t="shared" si="1"/>
        <v>1.2396825396825397</v>
      </c>
      <c r="D8" s="2">
        <v>1</v>
      </c>
      <c r="E8" s="15">
        <f>IF(D2=0,0,D8/D2)</f>
        <v>0.1111111111111111</v>
      </c>
      <c r="G8" s="15">
        <f>IF(F2=0,0,F8/F2)</f>
        <v>0</v>
      </c>
      <c r="I8" s="15">
        <f>IF(H2=0,0,H8/H2)</f>
        <v>0</v>
      </c>
      <c r="K8" s="15">
        <f>IF(J2=0,0,J8/J2)</f>
        <v>0</v>
      </c>
      <c r="M8" s="15">
        <f>IF(L2=0,0,L8/L2)</f>
        <v>0</v>
      </c>
      <c r="O8" s="15">
        <f>IF(N2=0,0,N8/N2)</f>
        <v>0</v>
      </c>
      <c r="Q8" s="15">
        <f>IF(P2=0,0,P8/P2)</f>
        <v>0</v>
      </c>
      <c r="R8" s="2">
        <v>1</v>
      </c>
      <c r="S8" s="15">
        <f>IF(R2=0,0,R8/R2)</f>
        <v>0.5</v>
      </c>
      <c r="T8" s="2">
        <v>1</v>
      </c>
      <c r="U8" s="15">
        <f>IF(T2=0,0,T8/T2)</f>
        <v>0.14285714285714285</v>
      </c>
      <c r="W8" s="15">
        <f>IF(V2=0,0,V8/V2)</f>
        <v>0</v>
      </c>
      <c r="Y8" s="15">
        <f>IF(X2=0,0,X8/X2)</f>
        <v>0</v>
      </c>
      <c r="AA8" s="15">
        <f>IF(Z2=0,0,Z8/Z2)</f>
        <v>0</v>
      </c>
      <c r="AC8" s="15">
        <f>IF(AB2=0,0,AB8/AB2)</f>
        <v>0</v>
      </c>
      <c r="AE8" s="15">
        <f>IF(AD2=0,0,AD8/AD2)</f>
        <v>0</v>
      </c>
      <c r="AF8" s="2">
        <v>2</v>
      </c>
      <c r="AG8" s="15">
        <f>IF(AF2=0,0,AF8/AF2)</f>
        <v>0.2</v>
      </c>
      <c r="AI8" s="15">
        <f>IF(AH2=0,0,AH8/AH2)</f>
        <v>0</v>
      </c>
      <c r="AK8" s="15">
        <f>IF(AJ2=0,0,AJ8/AJ2)</f>
        <v>0</v>
      </c>
      <c r="AL8" s="2">
        <v>2</v>
      </c>
      <c r="AM8" s="15">
        <f>IF(AL2=0,0,AL8/AL2)</f>
        <v>0.2857142857142857</v>
      </c>
      <c r="AO8" s="15">
        <f>IF(AN2=0,0,AN8/AN2)</f>
        <v>0</v>
      </c>
      <c r="AQ8" s="15">
        <f>IF(AP2=0,0,AP8/AP2)</f>
        <v>0</v>
      </c>
      <c r="AS8" s="15">
        <f>IF(AR2=0,0,AR8/AR2)</f>
        <v>0</v>
      </c>
      <c r="AU8" s="15">
        <f>IF(AT2=0,0,AT8/AT2)</f>
        <v>0</v>
      </c>
      <c r="AW8" s="15">
        <f>IF(AV2=0,0,AV8/AV2)</f>
        <v>0</v>
      </c>
      <c r="AY8" s="15">
        <f>IF(AX2=0,0,AX8/AX2)</f>
        <v>0</v>
      </c>
      <c r="BA8" s="15">
        <f>IF(AZ2=0,0,AZ8/AZ2)</f>
        <v>0</v>
      </c>
      <c r="BC8" s="15">
        <f>IF(BB2=0,0,BB8/BB2)</f>
        <v>0</v>
      </c>
      <c r="BD8" s="9" t="s">
        <v>56</v>
      </c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/>
    </row>
    <row r="9" spans="1:70" x14ac:dyDescent="0.25">
      <c r="A9" s="2" t="s">
        <v>7</v>
      </c>
      <c r="B9" s="2">
        <f t="shared" si="0"/>
        <v>7</v>
      </c>
      <c r="C9" s="15">
        <f t="shared" si="1"/>
        <v>2.0095238095238095</v>
      </c>
      <c r="E9" s="15">
        <f>IF(D2=0,0,D9/D2)</f>
        <v>0</v>
      </c>
      <c r="G9" s="15">
        <f>IF(F2=0,0,F9/F2)</f>
        <v>0</v>
      </c>
      <c r="H9" s="2">
        <v>1</v>
      </c>
      <c r="I9" s="15">
        <f>IF(H2=0,0,H9/H2)</f>
        <v>0.33333333333333331</v>
      </c>
      <c r="K9" s="15">
        <f>IF(J2=0,0,J9/J2)</f>
        <v>0</v>
      </c>
      <c r="M9" s="15">
        <f>IF(L2=0,0,L9/L2)</f>
        <v>0</v>
      </c>
      <c r="O9" s="15">
        <f>IF(N2=0,0,N9/N2)</f>
        <v>0</v>
      </c>
      <c r="Q9" s="15">
        <f>IF(P2=0,0,P9/P2)</f>
        <v>0</v>
      </c>
      <c r="S9" s="15">
        <f>IF(R2=0,0,R9/R2)</f>
        <v>0</v>
      </c>
      <c r="U9" s="15">
        <f>IF(T2=0,0,T9/T2)</f>
        <v>0</v>
      </c>
      <c r="W9" s="15">
        <f>IF(V2=0,0,V9/V2)</f>
        <v>0</v>
      </c>
      <c r="Y9" s="15">
        <f>IF(X2=0,0,X9/X2)</f>
        <v>0</v>
      </c>
      <c r="Z9" s="2">
        <v>1</v>
      </c>
      <c r="AA9" s="15">
        <f>IF(Z2=0,0,Z9/Z2)</f>
        <v>0.5</v>
      </c>
      <c r="AB9" s="2">
        <v>1</v>
      </c>
      <c r="AC9" s="15">
        <f>IF(AB2=0,0,AB9/AB2)</f>
        <v>0.5</v>
      </c>
      <c r="AE9" s="15">
        <f>IF(AD2=0,0,AD9/AD2)</f>
        <v>0</v>
      </c>
      <c r="AF9" s="2">
        <v>2</v>
      </c>
      <c r="AG9" s="15">
        <f>IF(AF2=0,0,AF9/AF2)</f>
        <v>0.2</v>
      </c>
      <c r="AI9" s="15">
        <f>IF(AH2=0,0,AH9/AH2)</f>
        <v>0</v>
      </c>
      <c r="AK9" s="15">
        <f>IF(AJ2=0,0,AJ9/AJ2)</f>
        <v>0</v>
      </c>
      <c r="AM9" s="15">
        <f>IF(AL2=0,0,AL9/AL2)</f>
        <v>0</v>
      </c>
      <c r="AN9" s="2">
        <v>1</v>
      </c>
      <c r="AO9" s="15">
        <f>IF(AN2=0,0,AN9/AN2)</f>
        <v>0.14285714285714285</v>
      </c>
      <c r="AQ9" s="15">
        <f>IF(AP2=0,0,AP9/AP2)</f>
        <v>0</v>
      </c>
      <c r="AR9" s="2">
        <v>1</v>
      </c>
      <c r="AS9" s="15">
        <f>IF(AR2=0,0,AR9/AR2)</f>
        <v>0.33333333333333331</v>
      </c>
      <c r="AU9" s="15">
        <f>IF(AT2=0,0,AT9/AT2)</f>
        <v>0</v>
      </c>
      <c r="AW9" s="15">
        <f>IF(AV2=0,0,AV9/AV2)</f>
        <v>0</v>
      </c>
      <c r="AY9" s="15">
        <f>IF(AX2=0,0,AX9/AX2)</f>
        <v>0</v>
      </c>
      <c r="BA9" s="15">
        <f>IF(AZ2=0,0,AZ9/AZ2)</f>
        <v>0</v>
      </c>
      <c r="BC9" s="15">
        <f>IF(BB2=0,0,BB9/BB2)</f>
        <v>0</v>
      </c>
      <c r="BD9" s="9" t="s">
        <v>57</v>
      </c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/>
    </row>
    <row r="10" spans="1:70" x14ac:dyDescent="0.25">
      <c r="A10" s="2" t="s">
        <v>6</v>
      </c>
      <c r="B10" s="2">
        <f t="shared" si="0"/>
        <v>5</v>
      </c>
      <c r="C10" s="15">
        <f t="shared" si="1"/>
        <v>0.7761904761904761</v>
      </c>
      <c r="E10" s="15">
        <f>IF(D2=0,0,D10/D2)</f>
        <v>0</v>
      </c>
      <c r="G10" s="15">
        <f>IF(F2=0,0,F10/F2)</f>
        <v>0</v>
      </c>
      <c r="I10" s="15">
        <f>IF(H2=0,0,H10/H2)</f>
        <v>0</v>
      </c>
      <c r="K10" s="15">
        <f>IF(J2=0,0,J10/J2)</f>
        <v>0</v>
      </c>
      <c r="M10" s="15">
        <f>IF(L2=0,0,L10/L2)</f>
        <v>0</v>
      </c>
      <c r="O10" s="15">
        <f>IF(N2=0,0,N10/N2)</f>
        <v>0</v>
      </c>
      <c r="Q10" s="15">
        <f>IF(P2=0,0,P10/P2)</f>
        <v>0</v>
      </c>
      <c r="S10" s="15">
        <f>IF(R2=0,0,R10/R2)</f>
        <v>0</v>
      </c>
      <c r="U10" s="15">
        <f>IF(T2=0,0,T10/T2)</f>
        <v>0</v>
      </c>
      <c r="W10" s="15">
        <f>IF(V2=0,0,V10/V2)</f>
        <v>0</v>
      </c>
      <c r="Y10" s="15">
        <f>IF(X2=0,0,X10/X2)</f>
        <v>0</v>
      </c>
      <c r="AA10" s="15">
        <f>IF(Z2=0,0,Z10/Z2)</f>
        <v>0</v>
      </c>
      <c r="AC10" s="15">
        <f>IF(AB2=0,0,AB10/AB2)</f>
        <v>0</v>
      </c>
      <c r="AE10" s="15">
        <f>IF(AD2=0,0,AD10/AD2)</f>
        <v>0</v>
      </c>
      <c r="AF10" s="2">
        <v>1</v>
      </c>
      <c r="AG10" s="15">
        <f>IF(AF2=0,0,AF10/AF2)</f>
        <v>0.1</v>
      </c>
      <c r="AI10" s="15">
        <f>IF(AH2=0,0,AH10/AH2)</f>
        <v>0</v>
      </c>
      <c r="AK10" s="15">
        <f>IF(AJ2=0,0,AJ10/AJ2)</f>
        <v>0</v>
      </c>
      <c r="AL10" s="2">
        <v>1</v>
      </c>
      <c r="AM10" s="15">
        <f>IF(AL2=0,0,AL10/AL2)</f>
        <v>0.14285714285714285</v>
      </c>
      <c r="AO10" s="15">
        <f>IF(AN2=0,0,AN10/AN2)</f>
        <v>0</v>
      </c>
      <c r="AP10" s="2">
        <v>2</v>
      </c>
      <c r="AQ10" s="15">
        <f>IF(AP2=0,0,AP10/AP2)</f>
        <v>0.2</v>
      </c>
      <c r="AR10" s="2">
        <v>1</v>
      </c>
      <c r="AS10" s="15">
        <f>IF(AR2=0,0,AR10/AR2)</f>
        <v>0.33333333333333331</v>
      </c>
      <c r="AU10" s="15">
        <f>IF(AT2=0,0,AT10/AT2)</f>
        <v>0</v>
      </c>
      <c r="AW10" s="15">
        <f>IF(AV2=0,0,AV10/AV2)</f>
        <v>0</v>
      </c>
      <c r="AY10" s="15">
        <f>IF(AX2=0,0,AX10/AX2)</f>
        <v>0</v>
      </c>
      <c r="BA10" s="15">
        <f>IF(AZ2=0,0,AZ10/AZ2)</f>
        <v>0</v>
      </c>
      <c r="BC10" s="15">
        <f>IF(BB2=0,0,BB10/BB2)</f>
        <v>0</v>
      </c>
      <c r="BD10" s="9" t="s">
        <v>58</v>
      </c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/>
    </row>
    <row r="11" spans="1:70" x14ac:dyDescent="0.25">
      <c r="A11" s="2" t="s">
        <v>8</v>
      </c>
      <c r="B11" s="2">
        <f t="shared" si="0"/>
        <v>5</v>
      </c>
      <c r="C11" s="15">
        <f t="shared" si="1"/>
        <v>1.0928571428571427</v>
      </c>
      <c r="E11" s="15">
        <f>IF(D2=0,0,D11/D2)</f>
        <v>0</v>
      </c>
      <c r="F11" s="2">
        <v>1</v>
      </c>
      <c r="G11" s="15">
        <f>IF(F2=0,0,F11/F2)</f>
        <v>0.2</v>
      </c>
      <c r="I11" s="15">
        <f>IF(H2=0,0,H11/H2)</f>
        <v>0</v>
      </c>
      <c r="K11" s="15">
        <f>IF(J2=0,0,J11/J2)</f>
        <v>0</v>
      </c>
      <c r="L11" s="2">
        <v>2</v>
      </c>
      <c r="M11" s="15">
        <f>IF(L2=0,0,L11/L2)</f>
        <v>0.25</v>
      </c>
      <c r="O11" s="15">
        <f>IF(N2=0,0,N11/N2)</f>
        <v>0</v>
      </c>
      <c r="Q11" s="15">
        <f>IF(P2=0,0,P11/P2)</f>
        <v>0</v>
      </c>
      <c r="S11" s="15">
        <f>IF(R2=0,0,R11/R2)</f>
        <v>0</v>
      </c>
      <c r="U11" s="15">
        <f>IF(T2=0,0,T11/T2)</f>
        <v>0</v>
      </c>
      <c r="W11" s="15">
        <f>IF(V2=0,0,V11/V2)</f>
        <v>0</v>
      </c>
      <c r="Y11" s="15">
        <f>IF(X2=0,0,X11/X2)</f>
        <v>0</v>
      </c>
      <c r="Z11" s="2">
        <v>1</v>
      </c>
      <c r="AA11" s="15">
        <f>IF(Z2=0,0,Z11/Z2)</f>
        <v>0.5</v>
      </c>
      <c r="AC11" s="15">
        <f>IF(AB2=0,0,AB11/AB2)</f>
        <v>0</v>
      </c>
      <c r="AE11" s="15">
        <f>IF(AD2=0,0,AD11/AD2)</f>
        <v>0</v>
      </c>
      <c r="AG11" s="15">
        <f>IF(AF2=0,0,AF11/AF2)</f>
        <v>0</v>
      </c>
      <c r="AI11" s="15">
        <f>IF(AH2=0,0,AH11/AH2)</f>
        <v>0</v>
      </c>
      <c r="AK11" s="15">
        <f>IF(AJ2=0,0,AJ11/AJ2)</f>
        <v>0</v>
      </c>
      <c r="AL11" s="2">
        <v>1</v>
      </c>
      <c r="AM11" s="15">
        <f>IF(AL2=0,0,AL11/AL2)</f>
        <v>0.14285714285714285</v>
      </c>
      <c r="AO11" s="15">
        <f>IF(AN2=0,0,AN11/AN2)</f>
        <v>0</v>
      </c>
      <c r="AQ11" s="15">
        <f>IF(AP2=0,0,AP11/AP2)</f>
        <v>0</v>
      </c>
      <c r="AS11" s="15">
        <f>IF(AR2=0,0,AR11/AR2)</f>
        <v>0</v>
      </c>
      <c r="AU11" s="15">
        <f>IF(AT2=0,0,AT11/AT2)</f>
        <v>0</v>
      </c>
      <c r="AW11" s="15">
        <f>IF(AV2=0,0,AV11/AV2)</f>
        <v>0</v>
      </c>
      <c r="AY11" s="15">
        <f>IF(AX2=0,0,AX11/AX2)</f>
        <v>0</v>
      </c>
      <c r="BA11" s="15">
        <f>IF(AZ2=0,0,AZ11/AZ2)</f>
        <v>0</v>
      </c>
      <c r="BC11" s="15">
        <f>IF(BB2=0,0,BB11/BB2)</f>
        <v>0</v>
      </c>
      <c r="BD11" s="9" t="s">
        <v>59</v>
      </c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/>
    </row>
    <row r="12" spans="1:70" x14ac:dyDescent="0.25">
      <c r="A12" s="2" t="s">
        <v>10</v>
      </c>
      <c r="B12" s="2">
        <f t="shared" si="0"/>
        <v>3</v>
      </c>
      <c r="C12" s="15">
        <f t="shared" si="1"/>
        <v>0.45396825396825397</v>
      </c>
      <c r="D12" s="2">
        <v>1</v>
      </c>
      <c r="E12" s="15">
        <f>IF(D2=0,0,D12/D2)</f>
        <v>0.1111111111111111</v>
      </c>
      <c r="F12" s="2">
        <v>1</v>
      </c>
      <c r="G12" s="15">
        <f>IF(F2=0,0,F12/F2)</f>
        <v>0.2</v>
      </c>
      <c r="I12" s="15">
        <f>IF(H2=0,0,H12/H2)</f>
        <v>0</v>
      </c>
      <c r="K12" s="15">
        <f>IF(J2=0,0,J12/J2)</f>
        <v>0</v>
      </c>
      <c r="M12" s="15">
        <f>IF(L2=0,0,L12/L2)</f>
        <v>0</v>
      </c>
      <c r="O12" s="15">
        <f>IF(N2=0,0,N12/N2)</f>
        <v>0</v>
      </c>
      <c r="Q12" s="15">
        <f>IF(P2=0,0,P12/P2)</f>
        <v>0</v>
      </c>
      <c r="S12" s="15">
        <f>IF(R2=0,0,R12/R2)</f>
        <v>0</v>
      </c>
      <c r="T12" s="2">
        <v>1</v>
      </c>
      <c r="U12" s="15">
        <f>IF(T2=0,0,T12/T2)</f>
        <v>0.14285714285714285</v>
      </c>
      <c r="W12" s="15">
        <f>IF(V2=0,0,V12/V2)</f>
        <v>0</v>
      </c>
      <c r="Y12" s="15">
        <f>IF(X2=0,0,X12/X2)</f>
        <v>0</v>
      </c>
      <c r="AA12" s="15">
        <f>IF(Z2=0,0,Z12/Z2)</f>
        <v>0</v>
      </c>
      <c r="AC12" s="15">
        <f>IF(AB2=0,0,AB12/AB2)</f>
        <v>0</v>
      </c>
      <c r="AE12" s="15">
        <f>IF(AD2=0,0,AD12/AD2)</f>
        <v>0</v>
      </c>
      <c r="AG12" s="15">
        <f>IF(AF2=0,0,AF12/AF2)</f>
        <v>0</v>
      </c>
      <c r="AI12" s="15">
        <f>IF(AH2=0,0,AH12/AH2)</f>
        <v>0</v>
      </c>
      <c r="AK12" s="15">
        <f>IF(AJ2=0,0,AJ12/AJ2)</f>
        <v>0</v>
      </c>
      <c r="AM12" s="15">
        <f>IF(AL2=0,0,AL12/AL2)</f>
        <v>0</v>
      </c>
      <c r="AO12" s="15">
        <f>IF(AN2=0,0,AN12/AN2)</f>
        <v>0</v>
      </c>
      <c r="AQ12" s="15">
        <f>IF(AP2=0,0,AP12/AP2)</f>
        <v>0</v>
      </c>
      <c r="AS12" s="15">
        <f>IF(AR2=0,0,AR12/AR2)</f>
        <v>0</v>
      </c>
      <c r="AU12" s="15">
        <f>IF(AT2=0,0,AT12/AT2)</f>
        <v>0</v>
      </c>
      <c r="AW12" s="15">
        <f>IF(AV2=0,0,AV12/AV2)</f>
        <v>0</v>
      </c>
      <c r="AY12" s="15">
        <f>IF(AX2=0,0,AX12/AX2)</f>
        <v>0</v>
      </c>
      <c r="BA12" s="15">
        <f>IF(AZ2=0,0,AZ12/AZ2)</f>
        <v>0</v>
      </c>
      <c r="BC12" s="15">
        <f>IF(BB2=0,0,BB12/BB2)</f>
        <v>0</v>
      </c>
      <c r="BD12" s="9" t="s">
        <v>60</v>
      </c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/>
    </row>
    <row r="13" spans="1:70" x14ac:dyDescent="0.25">
      <c r="A13" s="2" t="s">
        <v>12</v>
      </c>
      <c r="B13" s="2">
        <f t="shared" si="0"/>
        <v>3</v>
      </c>
      <c r="C13" s="15">
        <f t="shared" si="1"/>
        <v>0.75396825396825395</v>
      </c>
      <c r="D13" s="2">
        <v>1</v>
      </c>
      <c r="E13" s="15">
        <f>IF(D2=0,0,D13/D2)</f>
        <v>0.1111111111111111</v>
      </c>
      <c r="G13" s="15">
        <f>IF(F2=0,0,F13/F2)</f>
        <v>0</v>
      </c>
      <c r="I13" s="15">
        <f>IF(H2=0,0,H13/H2)</f>
        <v>0</v>
      </c>
      <c r="K13" s="15">
        <f>IF(J2=0,0,J13/J2)</f>
        <v>0</v>
      </c>
      <c r="M13" s="15">
        <f>IF(L2=0,0,L13/L2)</f>
        <v>0</v>
      </c>
      <c r="O13" s="15">
        <f>IF(N2=0,0,N13/N2)</f>
        <v>0</v>
      </c>
      <c r="Q13" s="15">
        <f>IF(P2=0,0,P13/P2)</f>
        <v>0</v>
      </c>
      <c r="S13" s="15">
        <f>IF(R2=0,0,R13/R2)</f>
        <v>0</v>
      </c>
      <c r="T13" s="2">
        <v>1</v>
      </c>
      <c r="U13" s="15">
        <f>IF(T2=0,0,T13/T2)</f>
        <v>0.14285714285714285</v>
      </c>
      <c r="W13" s="15">
        <f>IF(V2=0,0,V13/V2)</f>
        <v>0</v>
      </c>
      <c r="Y13" s="15">
        <f>IF(X2=0,0,X13/X2)</f>
        <v>0</v>
      </c>
      <c r="AA13" s="15">
        <f>IF(Z2=0,0,Z13/Z2)</f>
        <v>0</v>
      </c>
      <c r="AB13" s="2">
        <v>1</v>
      </c>
      <c r="AC13" s="15">
        <f>IF(AB2=0,0,AB13/AB2)</f>
        <v>0.5</v>
      </c>
      <c r="AE13" s="15">
        <f>IF(AD2=0,0,AD13/AD2)</f>
        <v>0</v>
      </c>
      <c r="AG13" s="15">
        <f>IF(AF2=0,0,AF13/AF2)</f>
        <v>0</v>
      </c>
      <c r="AI13" s="15">
        <f>IF(AH2=0,0,AH13/AH2)</f>
        <v>0</v>
      </c>
      <c r="AK13" s="15">
        <f>IF(AJ2=0,0,AJ13/AJ2)</f>
        <v>0</v>
      </c>
      <c r="AM13" s="15">
        <f>IF(AL2=0,0,AL13/AL2)</f>
        <v>0</v>
      </c>
      <c r="AO13" s="15">
        <f>IF(AN2=0,0,AN13/AN2)</f>
        <v>0</v>
      </c>
      <c r="AQ13" s="15">
        <f>IF(AP2=0,0,AP13/AP2)</f>
        <v>0</v>
      </c>
      <c r="AS13" s="15">
        <f>IF(AR2=0,0,AR13/AR2)</f>
        <v>0</v>
      </c>
      <c r="AU13" s="15">
        <f>IF(AT2=0,0,AT13/AT2)</f>
        <v>0</v>
      </c>
      <c r="AW13" s="15">
        <f>IF(AV2=0,0,AV13/AV2)</f>
        <v>0</v>
      </c>
      <c r="AY13" s="15">
        <f>IF(AX2=0,0,AX13/AX2)</f>
        <v>0</v>
      </c>
      <c r="BA13" s="15">
        <f>IF(AZ2=0,0,AZ13/AZ2)</f>
        <v>0</v>
      </c>
      <c r="BC13" s="15">
        <f>IF(BB2=0,0,BB13/BB2)</f>
        <v>0</v>
      </c>
      <c r="BD13" s="9" t="s">
        <v>61</v>
      </c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/>
    </row>
    <row r="14" spans="1:70" x14ac:dyDescent="0.25">
      <c r="A14" s="2" t="s">
        <v>9</v>
      </c>
      <c r="B14" s="2">
        <f t="shared" si="0"/>
        <v>3</v>
      </c>
      <c r="C14" s="15">
        <f t="shared" si="1"/>
        <v>0.36785714285714288</v>
      </c>
      <c r="E14" s="15">
        <f>IF(D2=0,0,D14/D2)</f>
        <v>0</v>
      </c>
      <c r="G14" s="15">
        <f>IF(F2=0,0,F14/F2)</f>
        <v>0</v>
      </c>
      <c r="I14" s="15">
        <f>IF(H2=0,0,H14/H2)</f>
        <v>0</v>
      </c>
      <c r="K14" s="15">
        <f>IF(J2=0,0,J14/J2)</f>
        <v>0</v>
      </c>
      <c r="L14" s="2">
        <v>1</v>
      </c>
      <c r="M14" s="15">
        <f>IF(L2=0,0,L14/L2)</f>
        <v>0.125</v>
      </c>
      <c r="O14" s="15">
        <f>IF(N2=0,0,N14/N2)</f>
        <v>0</v>
      </c>
      <c r="Q14" s="15">
        <f>IF(P2=0,0,P14/P2)</f>
        <v>0</v>
      </c>
      <c r="S14" s="15">
        <f>IF(R2=0,0,R14/R2)</f>
        <v>0</v>
      </c>
      <c r="U14" s="15">
        <f>IF(T2=0,0,T14/T2)</f>
        <v>0</v>
      </c>
      <c r="W14" s="15">
        <f>IF(V2=0,0,V14/V2)</f>
        <v>0</v>
      </c>
      <c r="Y14" s="15">
        <f>IF(X2=0,0,X14/X2)</f>
        <v>0</v>
      </c>
      <c r="AA14" s="15">
        <f>IF(Z2=0,0,Z14/Z2)</f>
        <v>0</v>
      </c>
      <c r="AC14" s="15">
        <f>IF(AB2=0,0,AB14/AB2)</f>
        <v>0</v>
      </c>
      <c r="AE14" s="15">
        <f>IF(AD2=0,0,AD14/AD2)</f>
        <v>0</v>
      </c>
      <c r="AG14" s="15">
        <f>IF(AF2=0,0,AF14/AF2)</f>
        <v>0</v>
      </c>
      <c r="AI14" s="15">
        <f>IF(AH2=0,0,AH14/AH2)</f>
        <v>0</v>
      </c>
      <c r="AK14" s="15">
        <f>IF(AJ2=0,0,AJ14/AJ2)</f>
        <v>0</v>
      </c>
      <c r="AM14" s="15">
        <f>IF(AL2=0,0,AL14/AL2)</f>
        <v>0</v>
      </c>
      <c r="AN14" s="2">
        <v>1</v>
      </c>
      <c r="AO14" s="15">
        <f>IF(AN2=0,0,AN14/AN2)</f>
        <v>0.14285714285714285</v>
      </c>
      <c r="AP14" s="2">
        <v>1</v>
      </c>
      <c r="AQ14" s="15">
        <f>IF(AP2=0,0,AP14/AP2)</f>
        <v>0.1</v>
      </c>
      <c r="AS14" s="15">
        <f>IF(AR2=0,0,AR14/AR2)</f>
        <v>0</v>
      </c>
      <c r="AU14" s="15">
        <f>IF(AT2=0,0,AT14/AT2)</f>
        <v>0</v>
      </c>
      <c r="AW14" s="15">
        <f>IF(AV2=0,0,AV14/AV2)</f>
        <v>0</v>
      </c>
      <c r="AY14" s="15">
        <f>IF(AX2=0,0,AX14/AX2)</f>
        <v>0</v>
      </c>
      <c r="BA14" s="15">
        <f>IF(AZ2=0,0,AZ14/AZ2)</f>
        <v>0</v>
      </c>
      <c r="BC14" s="15">
        <f>IF(BB2=0,0,BB14/BB2)</f>
        <v>0</v>
      </c>
      <c r="BD14" s="9" t="s">
        <v>62</v>
      </c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/>
    </row>
    <row r="15" spans="1:70" x14ac:dyDescent="0.25">
      <c r="A15" s="2" t="s">
        <v>11</v>
      </c>
      <c r="B15" s="2">
        <f t="shared" si="0"/>
        <v>3</v>
      </c>
      <c r="C15" s="15">
        <f t="shared" si="1"/>
        <v>1.2428571428571429</v>
      </c>
      <c r="E15" s="15">
        <f>IF(D2=0,0,D15/D2)</f>
        <v>0</v>
      </c>
      <c r="G15" s="15">
        <f>IF(F2=0,0,F15/F2)</f>
        <v>0</v>
      </c>
      <c r="I15" s="15">
        <f>IF(H2=0,0,H15/H2)</f>
        <v>0</v>
      </c>
      <c r="K15" s="15">
        <f>IF(J2=0,0,J15/J2)</f>
        <v>0</v>
      </c>
      <c r="M15" s="15">
        <f>IF(L2=0,0,L15/L2)</f>
        <v>0</v>
      </c>
      <c r="O15" s="15">
        <f>IF(N2=0,0,N15/N2)</f>
        <v>0</v>
      </c>
      <c r="Q15" s="15">
        <f>IF(P2=0,0,P15/P2)</f>
        <v>0</v>
      </c>
      <c r="S15" s="15">
        <f>IF(R2=0,0,R15/R2)</f>
        <v>0</v>
      </c>
      <c r="U15" s="15">
        <f>IF(T2=0,0,T15/T2)</f>
        <v>0</v>
      </c>
      <c r="W15" s="15">
        <f>IF(V2=0,0,V15/V2)</f>
        <v>0</v>
      </c>
      <c r="Y15" s="15">
        <f>IF(X2=0,0,X15/X2)</f>
        <v>0</v>
      </c>
      <c r="AA15" s="15">
        <f>IF(Z2=0,0,Z15/Z2)</f>
        <v>0</v>
      </c>
      <c r="AC15" s="15">
        <f>IF(AB2=0,0,AB15/AB2)</f>
        <v>0</v>
      </c>
      <c r="AE15" s="15">
        <f>IF(AD2=0,0,AD15/AD2)</f>
        <v>0</v>
      </c>
      <c r="AF15" s="2">
        <v>1</v>
      </c>
      <c r="AG15" s="15">
        <f>IF(AF2=0,0,AF15/AF2)</f>
        <v>0.1</v>
      </c>
      <c r="AH15" s="2">
        <v>1</v>
      </c>
      <c r="AI15" s="15">
        <f>IF(AH2=0,0,AH15/AH2)</f>
        <v>1</v>
      </c>
      <c r="AK15" s="15">
        <f>IF(AJ2=0,0,AJ15/AJ2)</f>
        <v>0</v>
      </c>
      <c r="AM15" s="15">
        <f>IF(AL2=0,0,AL15/AL2)</f>
        <v>0</v>
      </c>
      <c r="AN15" s="2">
        <v>1</v>
      </c>
      <c r="AO15" s="15">
        <f>IF(AN2=0,0,AN15/AN2)</f>
        <v>0.14285714285714285</v>
      </c>
      <c r="AQ15" s="15">
        <f>IF(AP2=0,0,AP15/AP2)</f>
        <v>0</v>
      </c>
      <c r="AS15" s="15">
        <f>IF(AR2=0,0,AR15/AR2)</f>
        <v>0</v>
      </c>
      <c r="AU15" s="15">
        <f>IF(AT2=0,0,AT15/AT2)</f>
        <v>0</v>
      </c>
      <c r="AW15" s="15">
        <f>IF(AV2=0,0,AV15/AV2)</f>
        <v>0</v>
      </c>
      <c r="AY15" s="15">
        <f>IF(AX2=0,0,AX15/AX2)</f>
        <v>0</v>
      </c>
      <c r="BA15" s="15">
        <f>IF(AZ2=0,0,AZ15/AZ2)</f>
        <v>0</v>
      </c>
      <c r="BC15" s="15">
        <f>IF(BB2=0,0,BB15/BB2)</f>
        <v>0</v>
      </c>
    </row>
    <row r="16" spans="1:70" ht="15.75" x14ac:dyDescent="0.3"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</row>
    <row r="17" spans="1:69" ht="15.75" x14ac:dyDescent="0.3">
      <c r="D17" s="17"/>
      <c r="E17" s="18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9"/>
      <c r="AF17" s="17"/>
      <c r="AG17" s="19"/>
      <c r="AH17" s="17"/>
      <c r="AI17" s="19"/>
      <c r="AJ17" s="17"/>
      <c r="AK17" s="19"/>
      <c r="AL17" s="17"/>
      <c r="AM17" s="19"/>
      <c r="AN17" s="17"/>
      <c r="AO17" s="19"/>
      <c r="AP17" s="17"/>
      <c r="AQ17" s="19"/>
      <c r="AR17" s="17"/>
      <c r="AS17" s="19"/>
      <c r="AT17" s="17"/>
      <c r="AU17" s="19"/>
      <c r="AV17" s="17"/>
      <c r="AW17" s="19"/>
      <c r="AX17" s="17"/>
      <c r="AY17" s="19"/>
      <c r="AZ17" s="17"/>
      <c r="BA17" s="19"/>
      <c r="BB17" s="17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</row>
    <row r="18" spans="1:69" ht="15.75" x14ac:dyDescent="0.3">
      <c r="D18" s="1" t="s">
        <v>14</v>
      </c>
      <c r="E18" s="1"/>
      <c r="F18" s="1" t="s">
        <v>15</v>
      </c>
      <c r="G18" s="1"/>
      <c r="H18" s="1" t="s">
        <v>16</v>
      </c>
      <c r="I18" s="1"/>
      <c r="J18" s="1" t="s">
        <v>17</v>
      </c>
      <c r="K18" s="1"/>
      <c r="L18" s="1" t="s">
        <v>18</v>
      </c>
      <c r="M18" s="1"/>
      <c r="N18" s="1" t="s">
        <v>19</v>
      </c>
      <c r="O18" s="1"/>
      <c r="P18" s="1" t="s">
        <v>20</v>
      </c>
      <c r="Q18" s="1"/>
      <c r="R18" s="1" t="s">
        <v>21</v>
      </c>
      <c r="S18" s="1"/>
      <c r="T18" s="1" t="s">
        <v>22</v>
      </c>
      <c r="U18" s="1"/>
      <c r="V18" s="1" t="s">
        <v>23</v>
      </c>
      <c r="W18" s="1"/>
      <c r="X18" s="1" t="s">
        <v>24</v>
      </c>
      <c r="Y18" s="1"/>
      <c r="Z18" s="1" t="s">
        <v>25</v>
      </c>
      <c r="AA18" s="1"/>
      <c r="AB18" s="1" t="s">
        <v>26</v>
      </c>
      <c r="AC18" s="1"/>
      <c r="AD18" s="1" t="s">
        <v>27</v>
      </c>
      <c r="AE18" s="1"/>
      <c r="AF18" s="1" t="s">
        <v>28</v>
      </c>
      <c r="AG18" s="1"/>
      <c r="AH18" s="1" t="s">
        <v>29</v>
      </c>
      <c r="AI18" s="1"/>
      <c r="AJ18" s="1" t="s">
        <v>30</v>
      </c>
      <c r="AK18" s="1"/>
      <c r="AL18" s="1" t="s">
        <v>31</v>
      </c>
      <c r="AM18" s="1"/>
      <c r="AN18" s="1" t="s">
        <v>32</v>
      </c>
      <c r="AO18" s="1"/>
      <c r="AP18" s="1" t="s">
        <v>33</v>
      </c>
      <c r="AQ18" s="1"/>
      <c r="AR18" s="1" t="s">
        <v>34</v>
      </c>
      <c r="AS18" s="1"/>
      <c r="AT18" s="1" t="s">
        <v>35</v>
      </c>
      <c r="AU18" s="1"/>
      <c r="AV18" s="1" t="s">
        <v>36</v>
      </c>
      <c r="AW18" s="1"/>
      <c r="AX18" s="1" t="s">
        <v>37</v>
      </c>
      <c r="AY18" s="1"/>
      <c r="AZ18" s="1" t="s">
        <v>38</v>
      </c>
      <c r="BA18" s="1"/>
      <c r="BB18" s="1" t="s">
        <v>39</v>
      </c>
      <c r="BC18" s="1"/>
    </row>
    <row r="19" spans="1:69" ht="15.75" x14ac:dyDescent="0.3">
      <c r="D19" s="17">
        <f>SUM(D20:D33)</f>
        <v>9</v>
      </c>
      <c r="E19" s="18"/>
      <c r="F19" s="17">
        <f>SUM(F20:F33)</f>
        <v>5</v>
      </c>
      <c r="G19" s="17"/>
      <c r="H19" s="17">
        <f>SUM(H20:H33)</f>
        <v>3</v>
      </c>
      <c r="I19" s="17"/>
      <c r="J19" s="17">
        <f>SUM(J20:J33)</f>
        <v>2</v>
      </c>
      <c r="K19" s="17"/>
      <c r="L19" s="17">
        <f>SUM(L20:L33)</f>
        <v>8</v>
      </c>
      <c r="M19" s="17"/>
      <c r="N19" s="17">
        <f>SUM(N20:N33)</f>
        <v>0</v>
      </c>
      <c r="O19" s="17"/>
      <c r="P19" s="17">
        <f>SUM(P20:P33)</f>
        <v>0</v>
      </c>
      <c r="Q19" s="17"/>
      <c r="R19" s="17">
        <f>SUM(R20:R33)</f>
        <v>2</v>
      </c>
      <c r="S19" s="17"/>
      <c r="T19" s="17">
        <f>SUM(T20:T33)</f>
        <v>7</v>
      </c>
      <c r="U19" s="17"/>
      <c r="V19" s="17">
        <f>SUM(V20:V33)</f>
        <v>0</v>
      </c>
      <c r="W19" s="17"/>
      <c r="X19" s="17">
        <f>SUM(X20:X33)</f>
        <v>0</v>
      </c>
      <c r="Y19" s="17"/>
      <c r="Z19" s="17">
        <f>SUM(Z20:Z33)</f>
        <v>2</v>
      </c>
      <c r="AA19" s="17"/>
      <c r="AB19" s="17">
        <f>SUM(AB20:AB33)</f>
        <v>2</v>
      </c>
      <c r="AC19" s="17"/>
      <c r="AD19" s="17">
        <f>SUM(AD20:AD33)</f>
        <v>2</v>
      </c>
      <c r="AE19" s="19"/>
      <c r="AF19" s="17">
        <f>SUM(AF20:AF33)</f>
        <v>10</v>
      </c>
      <c r="AG19" s="19"/>
      <c r="AH19" s="17">
        <f>SUM(AH20:AH33)</f>
        <v>1</v>
      </c>
      <c r="AI19" s="19"/>
      <c r="AJ19" s="17">
        <f>SUM(AJ20:AJ33)</f>
        <v>0</v>
      </c>
      <c r="AK19" s="19"/>
      <c r="AL19" s="17">
        <f>SUM(AL20:AL33)</f>
        <v>7</v>
      </c>
      <c r="AM19" s="19"/>
      <c r="AN19" s="17">
        <f>SUM(AN20:AN33)</f>
        <v>7</v>
      </c>
      <c r="AO19" s="19"/>
      <c r="AP19" s="17">
        <f>SUM(AP20:AP33)</f>
        <v>10</v>
      </c>
      <c r="AQ19" s="19"/>
      <c r="AR19" s="17">
        <f>SUM(AR20:AR33)</f>
        <v>3</v>
      </c>
      <c r="AS19" s="19"/>
      <c r="AT19" s="17">
        <f>SUM(AT20:AT33)</f>
        <v>0</v>
      </c>
      <c r="AU19" s="19"/>
      <c r="AV19" s="17">
        <f>SUM(AV20:AV33)</f>
        <v>0</v>
      </c>
      <c r="AW19" s="19"/>
      <c r="AX19" s="17">
        <f>SUM(AX20:AX33)</f>
        <v>0</v>
      </c>
      <c r="AY19" s="19"/>
      <c r="AZ19" s="17">
        <f>SUM(AZ20:AZ33)</f>
        <v>0</v>
      </c>
      <c r="BA19" s="19"/>
      <c r="BB19" s="17">
        <f>SUM(BB20:BB33)</f>
        <v>0</v>
      </c>
      <c r="BD19" s="9"/>
      <c r="BE19" s="9" t="s">
        <v>50</v>
      </c>
      <c r="BF19" s="9" t="s">
        <v>51</v>
      </c>
      <c r="BG19" s="9" t="s">
        <v>52</v>
      </c>
      <c r="BH19" s="9" t="s">
        <v>53</v>
      </c>
      <c r="BI19" s="9" t="s">
        <v>54</v>
      </c>
      <c r="BJ19" s="9" t="s">
        <v>55</v>
      </c>
      <c r="BK19" s="9" t="s">
        <v>56</v>
      </c>
      <c r="BL19" s="9" t="s">
        <v>57</v>
      </c>
      <c r="BM19" s="9" t="s">
        <v>58</v>
      </c>
      <c r="BN19" s="9" t="s">
        <v>59</v>
      </c>
      <c r="BO19" s="9" t="s">
        <v>60</v>
      </c>
      <c r="BP19" s="9" t="s">
        <v>61</v>
      </c>
      <c r="BQ19" s="9" t="s">
        <v>62</v>
      </c>
    </row>
    <row r="20" spans="1:69" ht="15.75" x14ac:dyDescent="0.3">
      <c r="A20" s="4" t="s">
        <v>0</v>
      </c>
      <c r="B20" s="2">
        <f t="shared" ref="B20:B32" si="2">LEN(A20)</f>
        <v>12</v>
      </c>
      <c r="C20" s="15"/>
      <c r="D20" s="2">
        <v>1</v>
      </c>
      <c r="E20" s="15">
        <f>IF(D19=0,0,D20/D19)</f>
        <v>0.1111111111111111</v>
      </c>
      <c r="G20" s="15">
        <f>IF(F19=0,0,F20/F19)</f>
        <v>0</v>
      </c>
      <c r="I20" s="15">
        <f>IF(H19=0,0,H20/H19)</f>
        <v>0</v>
      </c>
      <c r="K20" s="15">
        <f>IF(J19=0,0,J20/J19)</f>
        <v>0</v>
      </c>
      <c r="L20" s="2">
        <v>3</v>
      </c>
      <c r="M20" s="15">
        <f>IF(L19=0,0,L20/L19)</f>
        <v>0.375</v>
      </c>
      <c r="O20" s="15">
        <f>IF(N19=0,0,N20/N19)</f>
        <v>0</v>
      </c>
      <c r="Q20" s="15">
        <f>IF(P19=0,0,P20/P19)</f>
        <v>0</v>
      </c>
      <c r="S20" s="15">
        <f>IF(R19=0,0,R20/R19)</f>
        <v>0</v>
      </c>
      <c r="T20" s="2">
        <v>1</v>
      </c>
      <c r="U20" s="15">
        <f>IF(T19=0,0,T20/T19)</f>
        <v>0.14285714285714285</v>
      </c>
      <c r="W20" s="15">
        <f>IF(V19=0,0,V20/V19)</f>
        <v>0</v>
      </c>
      <c r="Y20" s="15">
        <f>IF(X19=0,0,X20/X19)</f>
        <v>0</v>
      </c>
      <c r="AA20" s="15">
        <f>IF(Z19=0,0,Z20/Z19)</f>
        <v>0</v>
      </c>
      <c r="AC20" s="15">
        <f>IF(AB19=0,0,AB20/AB19)</f>
        <v>0</v>
      </c>
      <c r="AD20" s="2">
        <v>2</v>
      </c>
      <c r="AE20" s="15">
        <f>IF(AD19=0,0,AD20/AD19)</f>
        <v>1</v>
      </c>
      <c r="AG20" s="15">
        <f>IF(AF19=0,0,AF20/AF19)</f>
        <v>0</v>
      </c>
      <c r="AI20" s="15">
        <f>IF(AH19=0,0,AH20/AH19)</f>
        <v>0</v>
      </c>
      <c r="AK20" s="15">
        <f>IF(AJ19=0,0,AJ20/AJ19)</f>
        <v>0</v>
      </c>
      <c r="AL20" s="2">
        <v>1</v>
      </c>
      <c r="AM20" s="15">
        <f>IF(AL19=0,0,AL20/AL19)</f>
        <v>0.14285714285714285</v>
      </c>
      <c r="AN20" s="2">
        <v>2</v>
      </c>
      <c r="AO20" s="15">
        <f>IF(AN19=0,0,AN20/AN19)</f>
        <v>0.2857142857142857</v>
      </c>
      <c r="AP20" s="2">
        <v>2</v>
      </c>
      <c r="AQ20" s="15">
        <f>IF(AP19=0,0,AP20/AP19)</f>
        <v>0.2</v>
      </c>
      <c r="AS20" s="15">
        <f>IF(AR19=0,0,AR20/AR19)</f>
        <v>0</v>
      </c>
      <c r="AU20" s="15">
        <f>IF(AT19=0,0,AT20/AT19)</f>
        <v>0</v>
      </c>
      <c r="AW20" s="15">
        <f>IF(AV19=0,0,AV20/AV19)</f>
        <v>0</v>
      </c>
      <c r="AY20" s="15">
        <f>IF(AX19=0,0,AX20/AX19)</f>
        <v>0</v>
      </c>
      <c r="BA20" s="15">
        <f>IF(AZ19=0,0,AZ20/AZ19)</f>
        <v>0</v>
      </c>
      <c r="BC20" s="15">
        <f>IF(BB19=0,0,BB20/BB19)</f>
        <v>0</v>
      </c>
      <c r="BD20" s="9" t="s">
        <v>51</v>
      </c>
      <c r="BE20" s="9" t="s">
        <v>42</v>
      </c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</row>
    <row r="21" spans="1:69" x14ac:dyDescent="0.25">
      <c r="A21" s="2" t="s">
        <v>2</v>
      </c>
      <c r="B21" s="2">
        <f t="shared" si="2"/>
        <v>9</v>
      </c>
      <c r="C21" s="15">
        <f t="shared" ref="C21:C32" si="3">E21+G21+I21+K21+M21+O21+Q21+S21+U21+W21+Y21+AA21+AC21+AE21+AG21+AI21+AK21+AM21+AO21+AQ21+AS21+AU21+AW21+AY21+BA21+BC21</f>
        <v>1.8884920634920634</v>
      </c>
      <c r="D21" s="2">
        <v>1</v>
      </c>
      <c r="E21" s="15">
        <f>IF(D19=0,0,D21/D19)</f>
        <v>0.1111111111111111</v>
      </c>
      <c r="G21" s="15">
        <f>IF(F19=0,0,F21/F19)</f>
        <v>0</v>
      </c>
      <c r="H21" s="2">
        <v>2</v>
      </c>
      <c r="I21" s="15">
        <f>IF(H19=0,0,H21/H19)</f>
        <v>0.66666666666666663</v>
      </c>
      <c r="J21" s="2">
        <v>1</v>
      </c>
      <c r="K21" s="15">
        <f>IF(J19=0,0,J21/J19)</f>
        <v>0.5</v>
      </c>
      <c r="L21" s="2">
        <v>1</v>
      </c>
      <c r="M21" s="15">
        <f>IF(L19=0,0,L21/L19)</f>
        <v>0.125</v>
      </c>
      <c r="O21" s="15">
        <f>IF(N19=0,0,N21/N19)</f>
        <v>0</v>
      </c>
      <c r="Q21" s="15">
        <f>IF(P19=0,0,P21/P19)</f>
        <v>0</v>
      </c>
      <c r="S21" s="15">
        <f>IF(R19=0,0,R21/R19)</f>
        <v>0</v>
      </c>
      <c r="T21" s="2">
        <v>1</v>
      </c>
      <c r="U21" s="15">
        <f>IF(T19=0,0,T21/T19)</f>
        <v>0.14285714285714285</v>
      </c>
      <c r="W21" s="15">
        <f>IF(V19=0,0,V21/V19)</f>
        <v>0</v>
      </c>
      <c r="Y21" s="15">
        <f>IF(X19=0,0,X21/X19)</f>
        <v>0</v>
      </c>
      <c r="AA21" s="15">
        <f>IF(Z19=0,0,Z21/Z19)</f>
        <v>0</v>
      </c>
      <c r="AC21" s="15">
        <f>IF(AB19=0,0,AB21/AB19)</f>
        <v>0</v>
      </c>
      <c r="AE21" s="15">
        <f>IF(AD19=0,0,AD21/AD19)</f>
        <v>0</v>
      </c>
      <c r="AF21" s="2">
        <v>1</v>
      </c>
      <c r="AG21" s="15">
        <f>IF(AF19=0,0,AF21/AF19)</f>
        <v>0.1</v>
      </c>
      <c r="AI21" s="15">
        <f>IF(AH19=0,0,AH21/AH19)</f>
        <v>0</v>
      </c>
      <c r="AK21" s="15">
        <f>IF(AJ19=0,0,AJ21/AJ19)</f>
        <v>0</v>
      </c>
      <c r="AM21" s="15">
        <f>IF(AL19=0,0,AL21/AL19)</f>
        <v>0</v>
      </c>
      <c r="AN21" s="2">
        <v>1</v>
      </c>
      <c r="AO21" s="15">
        <f>IF(AN19=0,0,AN21/AN19)</f>
        <v>0.14285714285714285</v>
      </c>
      <c r="AP21" s="2">
        <v>1</v>
      </c>
      <c r="AQ21" s="15">
        <f>IF(AP19=0,0,AP21/AP19)</f>
        <v>0.1</v>
      </c>
      <c r="AS21" s="15">
        <f>IF(AR19=0,0,AR21/AR19)</f>
        <v>0</v>
      </c>
      <c r="AU21" s="15">
        <f>IF(AT19=0,0,AT21/AT19)</f>
        <v>0</v>
      </c>
      <c r="AW21" s="15">
        <f>IF(AV19=0,0,AV21/AV19)</f>
        <v>0</v>
      </c>
      <c r="AY21" s="15">
        <f>IF(AX19=0,0,AX21/AX19)</f>
        <v>0</v>
      </c>
      <c r="BA21" s="15">
        <f>IF(AZ19=0,0,AZ21/AZ19)</f>
        <v>0</v>
      </c>
      <c r="BC21" s="15">
        <f>IF(BB19=0,0,BB21/BB19)</f>
        <v>0</v>
      </c>
      <c r="BD21" s="9" t="s">
        <v>52</v>
      </c>
      <c r="BE21" s="9" t="s">
        <v>43</v>
      </c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</row>
    <row r="22" spans="1:69" x14ac:dyDescent="0.25">
      <c r="A22" s="2" t="s">
        <v>1</v>
      </c>
      <c r="B22" s="2">
        <f t="shared" si="2"/>
        <v>9</v>
      </c>
      <c r="C22" s="15">
        <f t="shared" si="3"/>
        <v>1.5535714285714284</v>
      </c>
      <c r="E22" s="15">
        <f>IF(D19=0,0,D22/D19)</f>
        <v>0</v>
      </c>
      <c r="F22" s="2">
        <v>1</v>
      </c>
      <c r="G22" s="15">
        <f>IF(F19=0,0,F22/F19)</f>
        <v>0.2</v>
      </c>
      <c r="I22" s="15">
        <f>IF(H19=0,0,H22/H19)</f>
        <v>0</v>
      </c>
      <c r="J22" s="2">
        <v>1</v>
      </c>
      <c r="K22" s="15">
        <f>IF(J19=0,0,J22/J19)</f>
        <v>0.5</v>
      </c>
      <c r="L22" s="2">
        <v>1</v>
      </c>
      <c r="M22" s="15">
        <f>IF(L19=0,0,L22/L19)</f>
        <v>0.125</v>
      </c>
      <c r="O22" s="15">
        <f>IF(N19=0,0,N22/N19)</f>
        <v>0</v>
      </c>
      <c r="Q22" s="15">
        <f>IF(P19=0,0,P22/P19)</f>
        <v>0</v>
      </c>
      <c r="S22" s="15">
        <f>IF(R19=0,0,R22/R19)</f>
        <v>0</v>
      </c>
      <c r="T22" s="2">
        <v>1</v>
      </c>
      <c r="U22" s="15">
        <f>IF(T19=0,0,T22/T19)</f>
        <v>0.14285714285714285</v>
      </c>
      <c r="W22" s="15">
        <f>IF(V19=0,0,V22/V19)</f>
        <v>0</v>
      </c>
      <c r="Y22" s="15">
        <f>IF(X19=0,0,X22/X19)</f>
        <v>0</v>
      </c>
      <c r="AA22" s="15">
        <f>IF(Z19=0,0,Z22/Z19)</f>
        <v>0</v>
      </c>
      <c r="AC22" s="15">
        <f>IF(AB19=0,0,AB22/AB19)</f>
        <v>0</v>
      </c>
      <c r="AE22" s="15">
        <f>IF(AD19=0,0,AD22/AD19)</f>
        <v>0</v>
      </c>
      <c r="AF22" s="2">
        <v>2</v>
      </c>
      <c r="AG22" s="15">
        <f>IF(AF19=0,0,AF22/AF19)</f>
        <v>0.2</v>
      </c>
      <c r="AI22" s="15">
        <f>IF(AH19=0,0,AH22/AH19)</f>
        <v>0</v>
      </c>
      <c r="AK22" s="15">
        <f>IF(AJ19=0,0,AJ22/AJ19)</f>
        <v>0</v>
      </c>
      <c r="AL22" s="2">
        <v>1</v>
      </c>
      <c r="AM22" s="15">
        <f>IF(AL19=0,0,AL22/AL19)</f>
        <v>0.14285714285714285</v>
      </c>
      <c r="AN22" s="2">
        <v>1</v>
      </c>
      <c r="AO22" s="15">
        <f>IF(AN19=0,0,AN22/AN19)</f>
        <v>0.14285714285714285</v>
      </c>
      <c r="AP22" s="2">
        <v>1</v>
      </c>
      <c r="AQ22" s="15">
        <f>IF(AP19=0,0,AP22/AP19)</f>
        <v>0.1</v>
      </c>
      <c r="AS22" s="15">
        <f>IF(AR19=0,0,AR22/AR19)</f>
        <v>0</v>
      </c>
      <c r="AU22" s="15">
        <f>IF(AT19=0,0,AT22/AT19)</f>
        <v>0</v>
      </c>
      <c r="AW22" s="15">
        <f>IF(AV19=0,0,AV22/AV19)</f>
        <v>0</v>
      </c>
      <c r="AY22" s="15">
        <f>IF(AX19=0,0,AX22/AX19)</f>
        <v>0</v>
      </c>
      <c r="BA22" s="15">
        <f>IF(AZ19=0,0,AZ22/AZ19)</f>
        <v>0</v>
      </c>
      <c r="BC22" s="15">
        <f>IF(BB19=0,0,BB22/BB19)</f>
        <v>0</v>
      </c>
      <c r="BD22" s="9" t="s">
        <v>53</v>
      </c>
      <c r="BE22" s="9" t="s">
        <v>44</v>
      </c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</row>
    <row r="23" spans="1:69" x14ac:dyDescent="0.25">
      <c r="A23" s="2" t="s">
        <v>3</v>
      </c>
      <c r="B23" s="2">
        <f t="shared" si="2"/>
        <v>7</v>
      </c>
      <c r="C23" s="15">
        <f t="shared" si="3"/>
        <v>1.0984126984126985</v>
      </c>
      <c r="D23" s="2">
        <v>2</v>
      </c>
      <c r="E23" s="15">
        <f>IF(D19=0,0,D23/D19)</f>
        <v>0.22222222222222221</v>
      </c>
      <c r="F23" s="2">
        <v>1</v>
      </c>
      <c r="G23" s="15">
        <f>IF(F19=0,0,F23/F19)</f>
        <v>0.2</v>
      </c>
      <c r="I23" s="15">
        <f>IF(H19=0,0,H23/H19)</f>
        <v>0</v>
      </c>
      <c r="K23" s="15">
        <f>IF(J19=0,0,J23/J19)</f>
        <v>0</v>
      </c>
      <c r="M23" s="15">
        <f>IF(L19=0,0,L23/L19)</f>
        <v>0</v>
      </c>
      <c r="O23" s="15">
        <f>IF(N19=0,0,N23/N19)</f>
        <v>0</v>
      </c>
      <c r="Q23" s="15">
        <f>IF(P19=0,0,P23/P19)</f>
        <v>0</v>
      </c>
      <c r="S23" s="15">
        <f>IF(R19=0,0,R23/R19)</f>
        <v>0</v>
      </c>
      <c r="U23" s="15">
        <f>IF(T19=0,0,T23/T19)</f>
        <v>0</v>
      </c>
      <c r="W23" s="15">
        <f>IF(V19=0,0,V23/V19)</f>
        <v>0</v>
      </c>
      <c r="Y23" s="15">
        <f>IF(X19=0,0,X23/X19)</f>
        <v>0</v>
      </c>
      <c r="AA23" s="15">
        <f>IF(Z19=0,0,Z23/Z19)</f>
        <v>0</v>
      </c>
      <c r="AC23" s="15">
        <f>IF(AB19=0,0,AB23/AB19)</f>
        <v>0</v>
      </c>
      <c r="AE23" s="15">
        <f>IF(AD19=0,0,AD23/AD19)</f>
        <v>0</v>
      </c>
      <c r="AF23" s="2">
        <v>1</v>
      </c>
      <c r="AG23" s="15">
        <f>IF(AF19=0,0,AF23/AF19)</f>
        <v>0.1</v>
      </c>
      <c r="AI23" s="15">
        <f>IF(AH19=0,0,AH23/AH19)</f>
        <v>0</v>
      </c>
      <c r="AK23" s="15">
        <f>IF(AJ19=0,0,AJ23/AJ19)</f>
        <v>0</v>
      </c>
      <c r="AL23" s="2">
        <v>1</v>
      </c>
      <c r="AM23" s="15">
        <f>IF(AL19=0,0,AL23/AL19)</f>
        <v>0.14285714285714285</v>
      </c>
      <c r="AO23" s="15">
        <f>IF(AN19=0,0,AN23/AN19)</f>
        <v>0</v>
      </c>
      <c r="AP23" s="2">
        <v>1</v>
      </c>
      <c r="AQ23" s="15">
        <f>IF(AP19=0,0,AP23/AP19)</f>
        <v>0.1</v>
      </c>
      <c r="AR23" s="2">
        <v>1</v>
      </c>
      <c r="AS23" s="15">
        <f>IF(AR19=0,0,AR23/AR19)</f>
        <v>0.33333333333333331</v>
      </c>
      <c r="AU23" s="15">
        <f>IF(AT19=0,0,AT23/AT19)</f>
        <v>0</v>
      </c>
      <c r="AW23" s="15">
        <f>IF(AV19=0,0,AV23/AV19)</f>
        <v>0</v>
      </c>
      <c r="AY23" s="15">
        <f>IF(AX19=0,0,AX23/AX19)</f>
        <v>0</v>
      </c>
      <c r="BA23" s="15">
        <f>IF(AZ19=0,0,AZ23/AZ19)</f>
        <v>0</v>
      </c>
      <c r="BC23" s="15">
        <f>IF(BB19=0,0,BB23/BB19)</f>
        <v>0</v>
      </c>
      <c r="BD23" s="9" t="s">
        <v>54</v>
      </c>
      <c r="BE23" s="9" t="s">
        <v>45</v>
      </c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</row>
    <row r="24" spans="1:69" x14ac:dyDescent="0.25">
      <c r="A24" s="2" t="s">
        <v>5</v>
      </c>
      <c r="B24" s="2">
        <f t="shared" si="2"/>
        <v>7</v>
      </c>
      <c r="C24" s="15">
        <f t="shared" si="3"/>
        <v>1.265079365079365</v>
      </c>
      <c r="D24" s="2">
        <v>2</v>
      </c>
      <c r="E24" s="15">
        <f>IF(D19=0,0,D24/D19)</f>
        <v>0.22222222222222221</v>
      </c>
      <c r="F24" s="2">
        <v>1</v>
      </c>
      <c r="G24" s="15">
        <f>IF(F19=0,0,F24/F19)</f>
        <v>0.2</v>
      </c>
      <c r="I24" s="15">
        <f>IF(H19=0,0,H24/H19)</f>
        <v>0</v>
      </c>
      <c r="K24" s="15">
        <f>IF(J19=0,0,J24/J19)</f>
        <v>0</v>
      </c>
      <c r="M24" s="15">
        <f>IF(L19=0,0,L24/L19)</f>
        <v>0</v>
      </c>
      <c r="O24" s="15">
        <f>IF(N19=0,0,N24/N19)</f>
        <v>0</v>
      </c>
      <c r="Q24" s="15">
        <f>IF(P19=0,0,P24/P19)</f>
        <v>0</v>
      </c>
      <c r="R24" s="2">
        <v>1</v>
      </c>
      <c r="S24" s="15">
        <f>IF(R19=0,0,R24/R19)</f>
        <v>0.5</v>
      </c>
      <c r="T24" s="2">
        <v>1</v>
      </c>
      <c r="U24" s="15">
        <f>IF(T19=0,0,T24/T19)</f>
        <v>0.14285714285714285</v>
      </c>
      <c r="W24" s="15">
        <f>IF(V19=0,0,V24/V19)</f>
        <v>0</v>
      </c>
      <c r="Y24" s="15">
        <f>IF(X19=0,0,X24/X19)</f>
        <v>0</v>
      </c>
      <c r="AA24" s="15">
        <f>IF(Z19=0,0,Z24/Z19)</f>
        <v>0</v>
      </c>
      <c r="AC24" s="15">
        <f>IF(AB19=0,0,AB24/AB19)</f>
        <v>0</v>
      </c>
      <c r="AE24" s="15">
        <f>IF(AD19=0,0,AD24/AD19)</f>
        <v>0</v>
      </c>
      <c r="AG24" s="15">
        <f>IF(AF19=0,0,AF24/AF19)</f>
        <v>0</v>
      </c>
      <c r="AI24" s="15">
        <f>IF(AH19=0,0,AH24/AH19)</f>
        <v>0</v>
      </c>
      <c r="AK24" s="15">
        <f>IF(AJ19=0,0,AJ24/AJ19)</f>
        <v>0</v>
      </c>
      <c r="AM24" s="15">
        <f>IF(AL19=0,0,AL24/AL19)</f>
        <v>0</v>
      </c>
      <c r="AO24" s="15">
        <f>IF(AN19=0,0,AN24/AN19)</f>
        <v>0</v>
      </c>
      <c r="AP24" s="2">
        <v>2</v>
      </c>
      <c r="AQ24" s="15">
        <f>IF(AP19=0,0,AP24/AP19)</f>
        <v>0.2</v>
      </c>
      <c r="AS24" s="15">
        <f>IF(AR19=0,0,AR24/AR19)</f>
        <v>0</v>
      </c>
      <c r="AU24" s="15">
        <f>IF(AT19=0,0,AT24/AT19)</f>
        <v>0</v>
      </c>
      <c r="AW24" s="15">
        <f>IF(AV19=0,0,AV24/AV19)</f>
        <v>0</v>
      </c>
      <c r="AY24" s="15">
        <f>IF(AX19=0,0,AX24/AX19)</f>
        <v>0</v>
      </c>
      <c r="BA24" s="15">
        <f>IF(AZ19=0,0,AZ24/AZ19)</f>
        <v>0</v>
      </c>
      <c r="BC24" s="15">
        <f>IF(BB19=0,0,BB24/BB19)</f>
        <v>0</v>
      </c>
      <c r="BD24" s="9" t="s">
        <v>55</v>
      </c>
      <c r="BE24" s="9" t="s">
        <v>46</v>
      </c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</row>
    <row r="25" spans="1:69" x14ac:dyDescent="0.25">
      <c r="A25" s="2" t="s">
        <v>4</v>
      </c>
      <c r="B25" s="2">
        <f t="shared" si="2"/>
        <v>7</v>
      </c>
      <c r="C25" s="15">
        <f t="shared" si="3"/>
        <v>1.2396825396825397</v>
      </c>
      <c r="D25" s="2">
        <v>1</v>
      </c>
      <c r="E25" s="15">
        <f>IF(D19=0,0,D25/D19)</f>
        <v>0.1111111111111111</v>
      </c>
      <c r="G25" s="15">
        <f>IF(F19=0,0,F25/F19)</f>
        <v>0</v>
      </c>
      <c r="I25" s="15">
        <f>IF(H19=0,0,H25/H19)</f>
        <v>0</v>
      </c>
      <c r="K25" s="15">
        <f>IF(J19=0,0,J25/J19)</f>
        <v>0</v>
      </c>
      <c r="M25" s="15">
        <f>IF(L19=0,0,L25/L19)</f>
        <v>0</v>
      </c>
      <c r="O25" s="15">
        <f>IF(N19=0,0,N25/N19)</f>
        <v>0</v>
      </c>
      <c r="Q25" s="15">
        <f>IF(P19=0,0,P25/P19)</f>
        <v>0</v>
      </c>
      <c r="R25" s="2">
        <v>1</v>
      </c>
      <c r="S25" s="15">
        <f>IF(R19=0,0,R25/R19)</f>
        <v>0.5</v>
      </c>
      <c r="T25" s="2">
        <v>1</v>
      </c>
      <c r="U25" s="15">
        <f>IF(T19=0,0,T25/T19)</f>
        <v>0.14285714285714285</v>
      </c>
      <c r="W25" s="15">
        <f>IF(V19=0,0,V25/V19)</f>
        <v>0</v>
      </c>
      <c r="Y25" s="15">
        <f>IF(X19=0,0,X25/X19)</f>
        <v>0</v>
      </c>
      <c r="AA25" s="15">
        <f>IF(Z19=0,0,Z25/Z19)</f>
        <v>0</v>
      </c>
      <c r="AC25" s="15">
        <f>IF(AB19=0,0,AB25/AB19)</f>
        <v>0</v>
      </c>
      <c r="AE25" s="15">
        <f>IF(AD19=0,0,AD25/AD19)</f>
        <v>0</v>
      </c>
      <c r="AF25" s="2">
        <v>2</v>
      </c>
      <c r="AG25" s="15">
        <f>IF(AF19=0,0,AF25/AF19)</f>
        <v>0.2</v>
      </c>
      <c r="AI25" s="15">
        <f>IF(AH19=0,0,AH25/AH19)</f>
        <v>0</v>
      </c>
      <c r="AK25" s="15">
        <f>IF(AJ19=0,0,AJ25/AJ19)</f>
        <v>0</v>
      </c>
      <c r="AL25" s="2">
        <v>2</v>
      </c>
      <c r="AM25" s="15">
        <f>IF(AL19=0,0,AL25/AL19)</f>
        <v>0.2857142857142857</v>
      </c>
      <c r="AO25" s="15">
        <f>IF(AN19=0,0,AN25/AN19)</f>
        <v>0</v>
      </c>
      <c r="AQ25" s="15">
        <f>IF(AP19=0,0,AP25/AP19)</f>
        <v>0</v>
      </c>
      <c r="AS25" s="15">
        <f>IF(AR19=0,0,AR25/AR19)</f>
        <v>0</v>
      </c>
      <c r="AU25" s="15">
        <f>IF(AT19=0,0,AT25/AT19)</f>
        <v>0</v>
      </c>
      <c r="AW25" s="15">
        <f>IF(AV19=0,0,AV25/AV19)</f>
        <v>0</v>
      </c>
      <c r="AY25" s="15">
        <f>IF(AX19=0,0,AX25/AX19)</f>
        <v>0</v>
      </c>
      <c r="BA25" s="15">
        <f>IF(AZ19=0,0,AZ25/AZ19)</f>
        <v>0</v>
      </c>
      <c r="BC25" s="15">
        <f>IF(BB19=0,0,BB25/BB19)</f>
        <v>0</v>
      </c>
      <c r="BD25" s="9" t="s">
        <v>56</v>
      </c>
      <c r="BE25" s="9" t="s">
        <v>45</v>
      </c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</row>
    <row r="26" spans="1:69" x14ac:dyDescent="0.25">
      <c r="A26" s="2" t="s">
        <v>7</v>
      </c>
      <c r="B26" s="2">
        <f t="shared" si="2"/>
        <v>7</v>
      </c>
      <c r="C26" s="15">
        <f t="shared" si="3"/>
        <v>2.0095238095238095</v>
      </c>
      <c r="E26" s="15">
        <f>IF(D19=0,0,D26/D19)</f>
        <v>0</v>
      </c>
      <c r="G26" s="15">
        <f>IF(F19=0,0,F26/F19)</f>
        <v>0</v>
      </c>
      <c r="H26" s="2">
        <v>1</v>
      </c>
      <c r="I26" s="15">
        <f>IF(H19=0,0,H26/H19)</f>
        <v>0.33333333333333331</v>
      </c>
      <c r="K26" s="15">
        <f>IF(J19=0,0,J26/J19)</f>
        <v>0</v>
      </c>
      <c r="M26" s="15">
        <f>IF(L19=0,0,L26/L19)</f>
        <v>0</v>
      </c>
      <c r="O26" s="15">
        <f>IF(N19=0,0,N26/N19)</f>
        <v>0</v>
      </c>
      <c r="Q26" s="15">
        <f>IF(P19=0,0,P26/P19)</f>
        <v>0</v>
      </c>
      <c r="S26" s="15">
        <f>IF(R19=0,0,R26/R19)</f>
        <v>0</v>
      </c>
      <c r="U26" s="15">
        <f>IF(T19=0,0,T26/T19)</f>
        <v>0</v>
      </c>
      <c r="W26" s="15">
        <f>IF(V19=0,0,V26/V19)</f>
        <v>0</v>
      </c>
      <c r="Y26" s="15">
        <f>IF(X19=0,0,X26/X19)</f>
        <v>0</v>
      </c>
      <c r="Z26" s="2">
        <v>1</v>
      </c>
      <c r="AA26" s="15">
        <f>IF(Z19=0,0,Z26/Z19)</f>
        <v>0.5</v>
      </c>
      <c r="AB26" s="2">
        <v>1</v>
      </c>
      <c r="AC26" s="15">
        <f>IF(AB19=0,0,AB26/AB19)</f>
        <v>0.5</v>
      </c>
      <c r="AE26" s="15">
        <f>IF(AD19=0,0,AD26/AD19)</f>
        <v>0</v>
      </c>
      <c r="AF26" s="2">
        <v>2</v>
      </c>
      <c r="AG26" s="15">
        <f>IF(AF19=0,0,AF26/AF19)</f>
        <v>0.2</v>
      </c>
      <c r="AI26" s="15">
        <f>IF(AH19=0,0,AH26/AH19)</f>
        <v>0</v>
      </c>
      <c r="AK26" s="15">
        <f>IF(AJ19=0,0,AJ26/AJ19)</f>
        <v>0</v>
      </c>
      <c r="AM26" s="15">
        <f>IF(AL19=0,0,AL26/AL19)</f>
        <v>0</v>
      </c>
      <c r="AN26" s="2">
        <v>1</v>
      </c>
      <c r="AO26" s="15">
        <f>IF(AN19=0,0,AN26/AN19)</f>
        <v>0.14285714285714285</v>
      </c>
      <c r="AQ26" s="15">
        <f>IF(AP19=0,0,AP26/AP19)</f>
        <v>0</v>
      </c>
      <c r="AR26" s="2">
        <v>1</v>
      </c>
      <c r="AS26" s="15">
        <f>IF(AR19=0,0,AR26/AR19)</f>
        <v>0.33333333333333331</v>
      </c>
      <c r="AU26" s="15">
        <f>IF(AT19=0,0,AT26/AT19)</f>
        <v>0</v>
      </c>
      <c r="AW26" s="15">
        <f>IF(AV19=0,0,AV26/AV19)</f>
        <v>0</v>
      </c>
      <c r="AY26" s="15">
        <f>IF(AX19=0,0,AX26/AX19)</f>
        <v>0</v>
      </c>
      <c r="BA26" s="15">
        <f>IF(AZ19=0,0,AZ26/AZ19)</f>
        <v>0</v>
      </c>
      <c r="BC26" s="15">
        <f>IF(BB19=0,0,BB26/BB19)</f>
        <v>0</v>
      </c>
      <c r="BD26" s="9" t="s">
        <v>57</v>
      </c>
      <c r="BE26" s="9" t="s">
        <v>47</v>
      </c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</row>
    <row r="27" spans="1:69" x14ac:dyDescent="0.25">
      <c r="A27" s="2" t="s">
        <v>6</v>
      </c>
      <c r="B27" s="2">
        <f t="shared" si="2"/>
        <v>5</v>
      </c>
      <c r="C27" s="15">
        <f t="shared" si="3"/>
        <v>0.7761904761904761</v>
      </c>
      <c r="E27" s="15">
        <f>IF(D19=0,0,D27/D19)</f>
        <v>0</v>
      </c>
      <c r="G27" s="15">
        <f>IF(F19=0,0,F27/F19)</f>
        <v>0</v>
      </c>
      <c r="I27" s="15">
        <f>IF(H19=0,0,H27/H19)</f>
        <v>0</v>
      </c>
      <c r="K27" s="15">
        <f>IF(J19=0,0,J27/J19)</f>
        <v>0</v>
      </c>
      <c r="M27" s="15">
        <f>IF(L19=0,0,L27/L19)</f>
        <v>0</v>
      </c>
      <c r="O27" s="15">
        <f>IF(N19=0,0,N27/N19)</f>
        <v>0</v>
      </c>
      <c r="Q27" s="15">
        <f>IF(P19=0,0,P27/P19)</f>
        <v>0</v>
      </c>
      <c r="S27" s="15">
        <f>IF(R19=0,0,R27/R19)</f>
        <v>0</v>
      </c>
      <c r="U27" s="15">
        <f>IF(T19=0,0,T27/T19)</f>
        <v>0</v>
      </c>
      <c r="W27" s="15">
        <f>IF(V19=0,0,V27/V19)</f>
        <v>0</v>
      </c>
      <c r="Y27" s="15">
        <f>IF(X19=0,0,X27/X19)</f>
        <v>0</v>
      </c>
      <c r="AA27" s="15">
        <f>IF(Z19=0,0,Z27/Z19)</f>
        <v>0</v>
      </c>
      <c r="AC27" s="15">
        <f>IF(AB19=0,0,AB27/AB19)</f>
        <v>0</v>
      </c>
      <c r="AE27" s="15">
        <f>IF(AD19=0,0,AD27/AD19)</f>
        <v>0</v>
      </c>
      <c r="AF27" s="2">
        <v>1</v>
      </c>
      <c r="AG27" s="15">
        <f>IF(AF19=0,0,AF27/AF19)</f>
        <v>0.1</v>
      </c>
      <c r="AI27" s="15">
        <f>IF(AH19=0,0,AH27/AH19)</f>
        <v>0</v>
      </c>
      <c r="AK27" s="15">
        <f>IF(AJ19=0,0,AJ27/AJ19)</f>
        <v>0</v>
      </c>
      <c r="AL27" s="2">
        <v>1</v>
      </c>
      <c r="AM27" s="15">
        <f>IF(AL19=0,0,AL27/AL19)</f>
        <v>0.14285714285714285</v>
      </c>
      <c r="AO27" s="15">
        <f>IF(AN19=0,0,AN27/AN19)</f>
        <v>0</v>
      </c>
      <c r="AP27" s="2">
        <v>2</v>
      </c>
      <c r="AQ27" s="15">
        <f>IF(AP19=0,0,AP27/AP19)</f>
        <v>0.2</v>
      </c>
      <c r="AR27" s="2">
        <v>1</v>
      </c>
      <c r="AS27" s="15">
        <f>IF(AR19=0,0,AR27/AR19)</f>
        <v>0.33333333333333331</v>
      </c>
      <c r="AU27" s="15">
        <f>IF(AT19=0,0,AT27/AT19)</f>
        <v>0</v>
      </c>
      <c r="AW27" s="15">
        <f>IF(AV19=0,0,AV27/AV19)</f>
        <v>0</v>
      </c>
      <c r="AY27" s="15">
        <f>IF(AX19=0,0,AX27/AX19)</f>
        <v>0</v>
      </c>
      <c r="BA27" s="15">
        <f>IF(AZ19=0,0,AZ27/AZ19)</f>
        <v>0</v>
      </c>
      <c r="BC27" s="15">
        <f>IF(BB19=0,0,BB27/BB19)</f>
        <v>0</v>
      </c>
      <c r="BD27" s="9" t="s">
        <v>58</v>
      </c>
      <c r="BE27" s="9" t="s">
        <v>47</v>
      </c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</row>
    <row r="28" spans="1:69" x14ac:dyDescent="0.25">
      <c r="A28" s="2" t="s">
        <v>8</v>
      </c>
      <c r="B28" s="2">
        <f t="shared" si="2"/>
        <v>5</v>
      </c>
      <c r="C28" s="15">
        <f t="shared" si="3"/>
        <v>1.0928571428571427</v>
      </c>
      <c r="E28" s="15">
        <f>IF(D19=0,0,D28/D19)</f>
        <v>0</v>
      </c>
      <c r="F28" s="2">
        <v>1</v>
      </c>
      <c r="G28" s="15">
        <f>IF(F19=0,0,F28/F19)</f>
        <v>0.2</v>
      </c>
      <c r="I28" s="15">
        <f>IF(H19=0,0,H28/H19)</f>
        <v>0</v>
      </c>
      <c r="K28" s="15">
        <f>IF(J19=0,0,J28/J19)</f>
        <v>0</v>
      </c>
      <c r="L28" s="2">
        <v>2</v>
      </c>
      <c r="M28" s="15">
        <f>IF(L19=0,0,L28/L19)</f>
        <v>0.25</v>
      </c>
      <c r="O28" s="15">
        <f>IF(N19=0,0,N28/N19)</f>
        <v>0</v>
      </c>
      <c r="Q28" s="15">
        <f>IF(P19=0,0,P28/P19)</f>
        <v>0</v>
      </c>
      <c r="S28" s="15">
        <f>IF(R19=0,0,R28/R19)</f>
        <v>0</v>
      </c>
      <c r="U28" s="15">
        <f>IF(T19=0,0,T28/T19)</f>
        <v>0</v>
      </c>
      <c r="W28" s="15">
        <f>IF(V19=0,0,V28/V19)</f>
        <v>0</v>
      </c>
      <c r="Y28" s="15">
        <f>IF(X19=0,0,X28/X19)</f>
        <v>0</v>
      </c>
      <c r="Z28" s="2">
        <v>1</v>
      </c>
      <c r="AA28" s="15">
        <f>IF(Z19=0,0,Z28/Z19)</f>
        <v>0.5</v>
      </c>
      <c r="AC28" s="15">
        <f>IF(AB19=0,0,AB28/AB19)</f>
        <v>0</v>
      </c>
      <c r="AE28" s="15">
        <f>IF(AD19=0,0,AD28/AD19)</f>
        <v>0</v>
      </c>
      <c r="AG28" s="15">
        <f>IF(AF19=0,0,AF28/AF19)</f>
        <v>0</v>
      </c>
      <c r="AI28" s="15">
        <f>IF(AH19=0,0,AH28/AH19)</f>
        <v>0</v>
      </c>
      <c r="AK28" s="15">
        <f>IF(AJ19=0,0,AJ28/AJ19)</f>
        <v>0</v>
      </c>
      <c r="AL28" s="2">
        <v>1</v>
      </c>
      <c r="AM28" s="15">
        <f>IF(AL19=0,0,AL28/AL19)</f>
        <v>0.14285714285714285</v>
      </c>
      <c r="AO28" s="15">
        <f>IF(AN19=0,0,AN28/AN19)</f>
        <v>0</v>
      </c>
      <c r="AQ28" s="15">
        <f>IF(AP19=0,0,AP28/AP19)</f>
        <v>0</v>
      </c>
      <c r="AS28" s="15">
        <f>IF(AR19=0,0,AR28/AR19)</f>
        <v>0</v>
      </c>
      <c r="AU28" s="15">
        <f>IF(AT19=0,0,AT28/AT19)</f>
        <v>0</v>
      </c>
      <c r="AW28" s="15">
        <f>IF(AV19=0,0,AV28/AV19)</f>
        <v>0</v>
      </c>
      <c r="AY28" s="15">
        <f>IF(AX19=0,0,AX28/AX19)</f>
        <v>0</v>
      </c>
      <c r="BA28" s="15">
        <f>IF(AZ19=0,0,AZ28/AZ19)</f>
        <v>0</v>
      </c>
      <c r="BC28" s="15">
        <f>IF(BB19=0,0,BB28/BB19)</f>
        <v>0</v>
      </c>
      <c r="BD28" s="9" t="s">
        <v>59</v>
      </c>
      <c r="BE28" s="9" t="s">
        <v>45</v>
      </c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</row>
    <row r="29" spans="1:69" x14ac:dyDescent="0.25">
      <c r="A29" s="2" t="s">
        <v>10</v>
      </c>
      <c r="B29" s="2">
        <f t="shared" si="2"/>
        <v>3</v>
      </c>
      <c r="C29" s="15">
        <f t="shared" si="3"/>
        <v>0.45396825396825397</v>
      </c>
      <c r="D29" s="2">
        <v>1</v>
      </c>
      <c r="E29" s="15">
        <f>IF(D19=0,0,D29/D19)</f>
        <v>0.1111111111111111</v>
      </c>
      <c r="F29" s="2">
        <v>1</v>
      </c>
      <c r="G29" s="15">
        <f>IF(F19=0,0,F29/F19)</f>
        <v>0.2</v>
      </c>
      <c r="I29" s="15">
        <f>IF(H19=0,0,H29/H19)</f>
        <v>0</v>
      </c>
      <c r="K29" s="15">
        <f>IF(J19=0,0,J29/J19)</f>
        <v>0</v>
      </c>
      <c r="M29" s="15">
        <f>IF(L19=0,0,L29/L19)</f>
        <v>0</v>
      </c>
      <c r="O29" s="15">
        <f>IF(N19=0,0,N29/N19)</f>
        <v>0</v>
      </c>
      <c r="Q29" s="15">
        <f>IF(P19=0,0,P29/P19)</f>
        <v>0</v>
      </c>
      <c r="S29" s="15">
        <f>IF(R19=0,0,R29/R19)</f>
        <v>0</v>
      </c>
      <c r="T29" s="2">
        <v>1</v>
      </c>
      <c r="U29" s="15">
        <f>IF(T19=0,0,T29/T19)</f>
        <v>0.14285714285714285</v>
      </c>
      <c r="W29" s="15">
        <f>IF(V19=0,0,V29/V19)</f>
        <v>0</v>
      </c>
      <c r="Y29" s="15">
        <f>IF(X19=0,0,X29/X19)</f>
        <v>0</v>
      </c>
      <c r="AA29" s="15">
        <f>IF(Z19=0,0,Z29/Z19)</f>
        <v>0</v>
      </c>
      <c r="AC29" s="15">
        <f>IF(AB19=0,0,AB29/AB19)</f>
        <v>0</v>
      </c>
      <c r="AE29" s="15">
        <f>IF(AD19=0,0,AD29/AD19)</f>
        <v>0</v>
      </c>
      <c r="AG29" s="15">
        <f>IF(AF19=0,0,AF29/AF19)</f>
        <v>0</v>
      </c>
      <c r="AI29" s="15">
        <f>IF(AH19=0,0,AH29/AH19)</f>
        <v>0</v>
      </c>
      <c r="AK29" s="15">
        <f>IF(AJ19=0,0,AJ29/AJ19)</f>
        <v>0</v>
      </c>
      <c r="AM29" s="15">
        <f>IF(AL19=0,0,AL29/AL19)</f>
        <v>0</v>
      </c>
      <c r="AO29" s="15">
        <f>IF(AN19=0,0,AN29/AN19)</f>
        <v>0</v>
      </c>
      <c r="AQ29" s="15">
        <f>IF(AP19=0,0,AP29/AP19)</f>
        <v>0</v>
      </c>
      <c r="AS29" s="15">
        <f>IF(AR19=0,0,AR29/AR19)</f>
        <v>0</v>
      </c>
      <c r="AU29" s="15">
        <f>IF(AT19=0,0,AT29/AT19)</f>
        <v>0</v>
      </c>
      <c r="AW29" s="15">
        <f>IF(AV19=0,0,AV29/AV19)</f>
        <v>0</v>
      </c>
      <c r="AY29" s="15">
        <f>IF(AX19=0,0,AX29/AX19)</f>
        <v>0</v>
      </c>
      <c r="BA29" s="15">
        <f>IF(AZ19=0,0,AZ29/AZ19)</f>
        <v>0</v>
      </c>
      <c r="BC29" s="15">
        <f>IF(BB19=0,0,BB29/BB19)</f>
        <v>0</v>
      </c>
      <c r="BD29" s="9" t="s">
        <v>60</v>
      </c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</row>
    <row r="30" spans="1:69" x14ac:dyDescent="0.25">
      <c r="A30" s="2" t="s">
        <v>12</v>
      </c>
      <c r="B30" s="2">
        <f t="shared" si="2"/>
        <v>3</v>
      </c>
      <c r="C30" s="15">
        <f t="shared" si="3"/>
        <v>0.75396825396825395</v>
      </c>
      <c r="D30" s="2">
        <v>1</v>
      </c>
      <c r="E30" s="15">
        <f>IF(D19=0,0,D30/D19)</f>
        <v>0.1111111111111111</v>
      </c>
      <c r="G30" s="15">
        <f>IF(F19=0,0,F30/F19)</f>
        <v>0</v>
      </c>
      <c r="I30" s="15">
        <f>IF(H19=0,0,H30/H19)</f>
        <v>0</v>
      </c>
      <c r="K30" s="15">
        <f>IF(J19=0,0,J30/J19)</f>
        <v>0</v>
      </c>
      <c r="M30" s="15">
        <f>IF(L19=0,0,L30/L19)</f>
        <v>0</v>
      </c>
      <c r="O30" s="15">
        <f>IF(N19=0,0,N30/N19)</f>
        <v>0</v>
      </c>
      <c r="Q30" s="15">
        <f>IF(P19=0,0,P30/P19)</f>
        <v>0</v>
      </c>
      <c r="S30" s="15">
        <f>IF(R19=0,0,R30/R19)</f>
        <v>0</v>
      </c>
      <c r="T30" s="2">
        <v>1</v>
      </c>
      <c r="U30" s="15">
        <f>IF(T19=0,0,T30/T19)</f>
        <v>0.14285714285714285</v>
      </c>
      <c r="W30" s="15">
        <f>IF(V19=0,0,V30/V19)</f>
        <v>0</v>
      </c>
      <c r="Y30" s="15">
        <f>IF(X19=0,0,X30/X19)</f>
        <v>0</v>
      </c>
      <c r="AA30" s="15">
        <f>IF(Z19=0,0,Z30/Z19)</f>
        <v>0</v>
      </c>
      <c r="AB30" s="2">
        <v>1</v>
      </c>
      <c r="AC30" s="15">
        <f>IF(AB19=0,0,AB30/AB19)</f>
        <v>0.5</v>
      </c>
      <c r="AE30" s="15">
        <f>IF(AD19=0,0,AD30/AD19)</f>
        <v>0</v>
      </c>
      <c r="AG30" s="15">
        <f>IF(AF19=0,0,AF30/AF19)</f>
        <v>0</v>
      </c>
      <c r="AI30" s="15">
        <f>IF(AH19=0,0,AH30/AH19)</f>
        <v>0</v>
      </c>
      <c r="AK30" s="15">
        <f>IF(AJ19=0,0,AJ30/AJ19)</f>
        <v>0</v>
      </c>
      <c r="AM30" s="15">
        <f>IF(AL19=0,0,AL30/AL19)</f>
        <v>0</v>
      </c>
      <c r="AO30" s="15">
        <f>IF(AN19=0,0,AN30/AN19)</f>
        <v>0</v>
      </c>
      <c r="AQ30" s="15">
        <f>IF(AP19=0,0,AP30/AP19)</f>
        <v>0</v>
      </c>
      <c r="AS30" s="15">
        <f>IF(AR19=0,0,AR30/AR19)</f>
        <v>0</v>
      </c>
      <c r="AU30" s="15">
        <f>IF(AT19=0,0,AT30/AT19)</f>
        <v>0</v>
      </c>
      <c r="AW30" s="15">
        <f>IF(AV19=0,0,AV30/AV19)</f>
        <v>0</v>
      </c>
      <c r="AY30" s="15">
        <f>IF(AX19=0,0,AX30/AX19)</f>
        <v>0</v>
      </c>
      <c r="BA30" s="15">
        <f>IF(AZ19=0,0,AZ30/AZ19)</f>
        <v>0</v>
      </c>
      <c r="BC30" s="15">
        <f>IF(BB19=0,0,BB30/BB19)</f>
        <v>0</v>
      </c>
      <c r="BD30" s="9" t="s">
        <v>61</v>
      </c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</row>
    <row r="31" spans="1:69" x14ac:dyDescent="0.25">
      <c r="A31" s="2" t="s">
        <v>9</v>
      </c>
      <c r="B31" s="2">
        <f t="shared" si="2"/>
        <v>3</v>
      </c>
      <c r="C31" s="15">
        <f t="shared" si="3"/>
        <v>0.36785714285714288</v>
      </c>
      <c r="E31" s="15">
        <f>IF(D19=0,0,D31/D19)</f>
        <v>0</v>
      </c>
      <c r="G31" s="15">
        <f>IF(F19=0,0,F31/F19)</f>
        <v>0</v>
      </c>
      <c r="I31" s="15">
        <f>IF(H19=0,0,H31/H19)</f>
        <v>0</v>
      </c>
      <c r="K31" s="15">
        <f>IF(J19=0,0,J31/J19)</f>
        <v>0</v>
      </c>
      <c r="L31" s="2">
        <v>1</v>
      </c>
      <c r="M31" s="15">
        <f>IF(L19=0,0,L31/L19)</f>
        <v>0.125</v>
      </c>
      <c r="O31" s="15">
        <f>IF(N19=0,0,N31/N19)</f>
        <v>0</v>
      </c>
      <c r="Q31" s="15">
        <f>IF(P19=0,0,P31/P19)</f>
        <v>0</v>
      </c>
      <c r="S31" s="15">
        <f>IF(R19=0,0,R31/R19)</f>
        <v>0</v>
      </c>
      <c r="U31" s="15">
        <f>IF(T19=0,0,T31/T19)</f>
        <v>0</v>
      </c>
      <c r="W31" s="15">
        <f>IF(V19=0,0,V31/V19)</f>
        <v>0</v>
      </c>
      <c r="Y31" s="15">
        <f>IF(X19=0,0,X31/X19)</f>
        <v>0</v>
      </c>
      <c r="AA31" s="15">
        <f>IF(Z19=0,0,Z31/Z19)</f>
        <v>0</v>
      </c>
      <c r="AC31" s="15">
        <f>IF(AB19=0,0,AB31/AB19)</f>
        <v>0</v>
      </c>
      <c r="AE31" s="15">
        <f>IF(AD19=0,0,AD31/AD19)</f>
        <v>0</v>
      </c>
      <c r="AG31" s="15">
        <f>IF(AF19=0,0,AF31/AF19)</f>
        <v>0</v>
      </c>
      <c r="AI31" s="15">
        <f>IF(AH19=0,0,AH31/AH19)</f>
        <v>0</v>
      </c>
      <c r="AK31" s="15">
        <f>IF(AJ19=0,0,AJ31/AJ19)</f>
        <v>0</v>
      </c>
      <c r="AM31" s="15">
        <f>IF(AL19=0,0,AL31/AL19)</f>
        <v>0</v>
      </c>
      <c r="AN31" s="2">
        <v>1</v>
      </c>
      <c r="AO31" s="15">
        <f>IF(AN19=0,0,AN31/AN19)</f>
        <v>0.14285714285714285</v>
      </c>
      <c r="AP31" s="2">
        <v>1</v>
      </c>
      <c r="AQ31" s="15">
        <f>IF(AP19=0,0,AP31/AP19)</f>
        <v>0.1</v>
      </c>
      <c r="AS31" s="15">
        <f>IF(AR19=0,0,AR31/AR19)</f>
        <v>0</v>
      </c>
      <c r="AU31" s="15">
        <f>IF(AT19=0,0,AT31/AT19)</f>
        <v>0</v>
      </c>
      <c r="AW31" s="15">
        <f>IF(AV19=0,0,AV31/AV19)</f>
        <v>0</v>
      </c>
      <c r="AY31" s="15">
        <f>IF(AX19=0,0,AX31/AX19)</f>
        <v>0</v>
      </c>
      <c r="BA31" s="15">
        <f>IF(AZ19=0,0,AZ31/AZ19)</f>
        <v>0</v>
      </c>
      <c r="BC31" s="15">
        <f>IF(BB19=0,0,BB31/BB19)</f>
        <v>0</v>
      </c>
      <c r="BD31" s="9" t="s">
        <v>62</v>
      </c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</row>
    <row r="32" spans="1:69" x14ac:dyDescent="0.25">
      <c r="A32" s="2" t="s">
        <v>11</v>
      </c>
      <c r="B32" s="2">
        <f t="shared" si="2"/>
        <v>3</v>
      </c>
      <c r="C32" s="15">
        <f t="shared" si="3"/>
        <v>1.2428571428571429</v>
      </c>
      <c r="E32" s="15">
        <f>IF(D19=0,0,D32/D19)</f>
        <v>0</v>
      </c>
      <c r="G32" s="15">
        <f>IF(F19=0,0,F32/F19)</f>
        <v>0</v>
      </c>
      <c r="I32" s="15">
        <f>IF(H19=0,0,H32/H19)</f>
        <v>0</v>
      </c>
      <c r="K32" s="15">
        <f>IF(J19=0,0,J32/J19)</f>
        <v>0</v>
      </c>
      <c r="M32" s="15">
        <f>IF(L19=0,0,L32/L19)</f>
        <v>0</v>
      </c>
      <c r="O32" s="15">
        <f>IF(N19=0,0,N32/N19)</f>
        <v>0</v>
      </c>
      <c r="Q32" s="15">
        <f>IF(P19=0,0,P32/P19)</f>
        <v>0</v>
      </c>
      <c r="S32" s="15">
        <f>IF(R19=0,0,R32/R19)</f>
        <v>0</v>
      </c>
      <c r="U32" s="15">
        <f>IF(T19=0,0,T32/T19)</f>
        <v>0</v>
      </c>
      <c r="W32" s="15">
        <f>IF(V19=0,0,V32/V19)</f>
        <v>0</v>
      </c>
      <c r="Y32" s="15">
        <f>IF(X19=0,0,X32/X19)</f>
        <v>0</v>
      </c>
      <c r="AA32" s="15">
        <f>IF(Z19=0,0,Z32/Z19)</f>
        <v>0</v>
      </c>
      <c r="AC32" s="15">
        <f>IF(AB19=0,0,AB32/AB19)</f>
        <v>0</v>
      </c>
      <c r="AE32" s="15">
        <f>IF(AD19=0,0,AD32/AD19)</f>
        <v>0</v>
      </c>
      <c r="AF32" s="2">
        <v>1</v>
      </c>
      <c r="AG32" s="15">
        <f>IF(AF19=0,0,AF32/AF19)</f>
        <v>0.1</v>
      </c>
      <c r="AH32" s="2">
        <v>1</v>
      </c>
      <c r="AI32" s="15">
        <f>IF(AH19=0,0,AH32/AH19)</f>
        <v>1</v>
      </c>
      <c r="AK32" s="15">
        <f>IF(AJ19=0,0,AJ32/AJ19)</f>
        <v>0</v>
      </c>
      <c r="AM32" s="15">
        <f>IF(AL19=0,0,AL32/AL19)</f>
        <v>0</v>
      </c>
      <c r="AN32" s="2">
        <v>1</v>
      </c>
      <c r="AO32" s="15">
        <f>IF(AN19=0,0,AN32/AN19)</f>
        <v>0.14285714285714285</v>
      </c>
      <c r="AQ32" s="15">
        <f>IF(AP19=0,0,AP32/AP19)</f>
        <v>0</v>
      </c>
      <c r="AS32" s="15">
        <f>IF(AR19=0,0,AR32/AR19)</f>
        <v>0</v>
      </c>
      <c r="AU32" s="15">
        <f>IF(AT19=0,0,AT32/AT19)</f>
        <v>0</v>
      </c>
      <c r="AW32" s="15">
        <f>IF(AV19=0,0,AV32/AV19)</f>
        <v>0</v>
      </c>
      <c r="AY32" s="15">
        <f>IF(AX19=0,0,AX32/AX19)</f>
        <v>0</v>
      </c>
      <c r="BA32" s="15">
        <f>IF(AZ19=0,0,AZ32/AZ19)</f>
        <v>0</v>
      </c>
      <c r="BC32" s="15">
        <f>IF(BB19=0,0,BB32/BB19)</f>
        <v>0</v>
      </c>
    </row>
    <row r="33" spans="1:69" ht="15.75" x14ac:dyDescent="0.3"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</row>
    <row r="34" spans="1:69" ht="15.75" x14ac:dyDescent="0.3">
      <c r="D34" s="1" t="s">
        <v>14</v>
      </c>
      <c r="E34" s="1"/>
      <c r="F34" s="1" t="s">
        <v>15</v>
      </c>
      <c r="G34" s="1"/>
      <c r="H34" s="1" t="s">
        <v>16</v>
      </c>
      <c r="I34" s="1"/>
      <c r="J34" s="1" t="s">
        <v>17</v>
      </c>
      <c r="K34" s="1"/>
      <c r="L34" s="1" t="s">
        <v>18</v>
      </c>
      <c r="M34" s="1"/>
      <c r="N34" s="1" t="s">
        <v>19</v>
      </c>
      <c r="O34" s="1"/>
      <c r="P34" s="1" t="s">
        <v>20</v>
      </c>
      <c r="Q34" s="1"/>
      <c r="R34" s="1" t="s">
        <v>21</v>
      </c>
      <c r="S34" s="1"/>
      <c r="T34" s="1" t="s">
        <v>22</v>
      </c>
      <c r="U34" s="1"/>
      <c r="V34" s="1" t="s">
        <v>23</v>
      </c>
      <c r="W34" s="1"/>
      <c r="X34" s="1" t="s">
        <v>24</v>
      </c>
      <c r="Y34" s="1"/>
      <c r="Z34" s="1" t="s">
        <v>25</v>
      </c>
      <c r="AA34" s="1"/>
      <c r="AB34" s="1" t="s">
        <v>26</v>
      </c>
      <c r="AC34" s="1"/>
      <c r="AD34" s="1" t="s">
        <v>27</v>
      </c>
      <c r="AE34" s="1"/>
      <c r="AF34" s="1" t="s">
        <v>28</v>
      </c>
      <c r="AG34" s="1"/>
      <c r="AH34" s="1" t="s">
        <v>29</v>
      </c>
      <c r="AI34" s="1"/>
      <c r="AJ34" s="1" t="s">
        <v>30</v>
      </c>
      <c r="AK34" s="1"/>
      <c r="AL34" s="1" t="s">
        <v>31</v>
      </c>
      <c r="AM34" s="1"/>
      <c r="AN34" s="1" t="s">
        <v>32</v>
      </c>
      <c r="AO34" s="1"/>
      <c r="AP34" s="1" t="s">
        <v>33</v>
      </c>
      <c r="AQ34" s="1"/>
      <c r="AR34" s="1" t="s">
        <v>34</v>
      </c>
      <c r="AS34" s="1"/>
      <c r="AT34" s="1" t="s">
        <v>35</v>
      </c>
      <c r="AU34" s="1"/>
      <c r="AV34" s="1" t="s">
        <v>36</v>
      </c>
      <c r="AW34" s="1"/>
      <c r="AX34" s="1" t="s">
        <v>37</v>
      </c>
      <c r="AY34" s="1"/>
      <c r="AZ34" s="1" t="s">
        <v>38</v>
      </c>
      <c r="BA34" s="1"/>
      <c r="BB34" s="1" t="s">
        <v>39</v>
      </c>
      <c r="BC34" s="1"/>
    </row>
    <row r="35" spans="1:69" ht="15.75" x14ac:dyDescent="0.3">
      <c r="D35" s="17">
        <f>SUM(D36:D49)</f>
        <v>9</v>
      </c>
      <c r="E35" s="18"/>
      <c r="F35" s="17">
        <f>SUM(F36:F49)</f>
        <v>5</v>
      </c>
      <c r="G35" s="17"/>
      <c r="H35" s="17">
        <f>SUM(H36:H49)</f>
        <v>3</v>
      </c>
      <c r="I35" s="17"/>
      <c r="J35" s="17">
        <f>SUM(J36:J49)</f>
        <v>2</v>
      </c>
      <c r="K35" s="17"/>
      <c r="L35" s="17">
        <f>SUM(L36:L49)</f>
        <v>6</v>
      </c>
      <c r="M35" s="17"/>
      <c r="N35" s="17">
        <f>SUM(N36:N49)</f>
        <v>0</v>
      </c>
      <c r="O35" s="17"/>
      <c r="P35" s="17">
        <f>SUM(P36:P49)</f>
        <v>0</v>
      </c>
      <c r="Q35" s="17"/>
      <c r="R35" s="17">
        <f>SUM(R36:R49)</f>
        <v>2</v>
      </c>
      <c r="S35" s="17"/>
      <c r="T35" s="17">
        <f>SUM(T36:T49)</f>
        <v>7</v>
      </c>
      <c r="U35" s="17"/>
      <c r="V35" s="17">
        <f>SUM(V36:V49)</f>
        <v>0</v>
      </c>
      <c r="W35" s="17"/>
      <c r="X35" s="17">
        <f>SUM(X36:X49)</f>
        <v>0</v>
      </c>
      <c r="Y35" s="17"/>
      <c r="Z35" s="17">
        <f>SUM(Z36:Z49)</f>
        <v>2</v>
      </c>
      <c r="AA35" s="17"/>
      <c r="AB35" s="17">
        <f>SUM(AB36:AB49)</f>
        <v>2</v>
      </c>
      <c r="AC35" s="17"/>
      <c r="AD35" s="17">
        <f>SUM(AD36:AD49)</f>
        <v>2</v>
      </c>
      <c r="AE35" s="19"/>
      <c r="AF35" s="17">
        <f>SUM(AF36:AF49)</f>
        <v>10</v>
      </c>
      <c r="AG35" s="19"/>
      <c r="AH35" s="17">
        <f>SUM(AH36:AH49)</f>
        <v>1</v>
      </c>
      <c r="AI35" s="19"/>
      <c r="AJ35" s="17">
        <f>SUM(AJ36:AJ49)</f>
        <v>0</v>
      </c>
      <c r="AK35" s="19"/>
      <c r="AL35" s="17">
        <f>SUM(AL36:AL49)</f>
        <v>7</v>
      </c>
      <c r="AM35" s="19"/>
      <c r="AN35" s="17">
        <f>SUM(AN36:AN49)</f>
        <v>6</v>
      </c>
      <c r="AO35" s="19"/>
      <c r="AP35" s="17">
        <f>SUM(AP36:AP49)</f>
        <v>10</v>
      </c>
      <c r="AQ35" s="19"/>
      <c r="AR35" s="17">
        <f>SUM(AR36:AR49)</f>
        <v>3</v>
      </c>
      <c r="AS35" s="19"/>
      <c r="AT35" s="17">
        <f>SUM(AT36:AT49)</f>
        <v>0</v>
      </c>
      <c r="AU35" s="19"/>
      <c r="AV35" s="17">
        <f>SUM(AV36:AV49)</f>
        <v>0</v>
      </c>
      <c r="AW35" s="19"/>
      <c r="AX35" s="17">
        <f>SUM(AX36:AX49)</f>
        <v>0</v>
      </c>
      <c r="AY35" s="19"/>
      <c r="AZ35" s="17">
        <f>SUM(AZ36:AZ49)</f>
        <v>0</v>
      </c>
      <c r="BA35" s="19"/>
      <c r="BB35" s="17">
        <f>SUM(BB36:BB49)</f>
        <v>0</v>
      </c>
      <c r="BD35" s="9"/>
      <c r="BE35" s="9" t="s">
        <v>50</v>
      </c>
      <c r="BF35" s="9" t="s">
        <v>51</v>
      </c>
      <c r="BG35" s="9" t="s">
        <v>52</v>
      </c>
      <c r="BH35" s="9" t="s">
        <v>53</v>
      </c>
      <c r="BI35" s="9" t="s">
        <v>54</v>
      </c>
      <c r="BJ35" s="9" t="s">
        <v>55</v>
      </c>
      <c r="BK35" s="9" t="s">
        <v>56</v>
      </c>
      <c r="BL35" s="9" t="s">
        <v>57</v>
      </c>
      <c r="BM35" s="9" t="s">
        <v>58</v>
      </c>
      <c r="BN35" s="9" t="s">
        <v>59</v>
      </c>
      <c r="BO35" s="9" t="s">
        <v>60</v>
      </c>
      <c r="BP35" s="9" t="s">
        <v>61</v>
      </c>
      <c r="BQ35" s="9" t="s">
        <v>62</v>
      </c>
    </row>
    <row r="36" spans="1:69" ht="15.75" x14ac:dyDescent="0.3">
      <c r="A36" s="4" t="s">
        <v>0</v>
      </c>
      <c r="B36" s="2">
        <f t="shared" ref="B36:B48" si="4">LEN(A36)</f>
        <v>12</v>
      </c>
      <c r="C36" s="15"/>
      <c r="D36" s="2">
        <v>1</v>
      </c>
      <c r="E36" s="15">
        <f>IF(D35=0,0,D36/D35)</f>
        <v>0.1111111111111111</v>
      </c>
      <c r="G36" s="15">
        <f>IF(F35=0,0,F36/F35)</f>
        <v>0</v>
      </c>
      <c r="I36" s="15">
        <f>IF(H35=0,0,H36/H35)</f>
        <v>0</v>
      </c>
      <c r="K36" s="15">
        <f>IF(J35=0,0,J36/J35)</f>
        <v>0</v>
      </c>
      <c r="L36" s="2">
        <v>2</v>
      </c>
      <c r="M36" s="15">
        <f>IF(L35=0,0,L36/L35)</f>
        <v>0.33333333333333331</v>
      </c>
      <c r="O36" s="15">
        <f>IF(N35=0,0,N36/N35)</f>
        <v>0</v>
      </c>
      <c r="Q36" s="15">
        <f>IF(P35=0,0,P36/P35)</f>
        <v>0</v>
      </c>
      <c r="S36" s="15">
        <f>IF(R35=0,0,R36/R35)</f>
        <v>0</v>
      </c>
      <c r="T36" s="2">
        <v>1</v>
      </c>
      <c r="U36" s="15">
        <f>IF(T35=0,0,T36/T35)</f>
        <v>0.14285714285714285</v>
      </c>
      <c r="W36" s="15">
        <f>IF(V35=0,0,V36/V35)</f>
        <v>0</v>
      </c>
      <c r="Y36" s="15">
        <f>IF(X35=0,0,X36/X35)</f>
        <v>0</v>
      </c>
      <c r="AA36" s="15">
        <f>IF(Z35=0,0,Z36/Z35)</f>
        <v>0</v>
      </c>
      <c r="AC36" s="15">
        <f>IF(AB35=0,0,AB36/AB35)</f>
        <v>0</v>
      </c>
      <c r="AD36" s="2">
        <v>2</v>
      </c>
      <c r="AE36" s="15">
        <f>IF(AD35=0,0,AD36/AD35)</f>
        <v>1</v>
      </c>
      <c r="AG36" s="15">
        <f>IF(AF35=0,0,AF36/AF35)</f>
        <v>0</v>
      </c>
      <c r="AI36" s="15">
        <f>IF(AH35=0,0,AH36/AH35)</f>
        <v>0</v>
      </c>
      <c r="AK36" s="15">
        <f>IF(AJ35=0,0,AJ36/AJ35)</f>
        <v>0</v>
      </c>
      <c r="AL36" s="2">
        <v>1</v>
      </c>
      <c r="AM36" s="15">
        <f>IF(AL35=0,0,AL36/AL35)</f>
        <v>0.14285714285714285</v>
      </c>
      <c r="AN36" s="2">
        <v>2</v>
      </c>
      <c r="AO36" s="15">
        <f>IF(AN35=0,0,AN36/AN35)</f>
        <v>0.33333333333333331</v>
      </c>
      <c r="AP36" s="2">
        <v>2</v>
      </c>
      <c r="AQ36" s="15">
        <f>IF(AP35=0,0,AP36/AP35)</f>
        <v>0.2</v>
      </c>
      <c r="AS36" s="15">
        <f>IF(AR35=0,0,AR36/AR35)</f>
        <v>0</v>
      </c>
      <c r="AU36" s="15">
        <f>IF(AT35=0,0,AT36/AT35)</f>
        <v>0</v>
      </c>
      <c r="AW36" s="15">
        <f>IF(AV35=0,0,AV36/AV35)</f>
        <v>0</v>
      </c>
      <c r="AY36" s="15">
        <f>IF(AX35=0,0,AX36/AX35)</f>
        <v>0</v>
      </c>
      <c r="BA36" s="15">
        <f>IF(AZ35=0,0,AZ36/AZ35)</f>
        <v>0</v>
      </c>
      <c r="BC36" s="15">
        <f>IF(BB35=0,0,BB36/BB35)</f>
        <v>0</v>
      </c>
      <c r="BD36" s="9" t="s">
        <v>51</v>
      </c>
      <c r="BE36" s="9" t="s">
        <v>42</v>
      </c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</row>
    <row r="37" spans="1:69" x14ac:dyDescent="0.25">
      <c r="A37" s="2" t="s">
        <v>2</v>
      </c>
      <c r="B37" s="2">
        <f t="shared" si="4"/>
        <v>9</v>
      </c>
      <c r="C37" s="15">
        <f>E37+G37+I37+K37+M37+O37+Q37+S37+U37+W37+Y37+AA37+AC37+AE37+AG37+AI37+AK37+AM37+AO37+AQ37+AS37+AU37+AW37+AY37+BA37+BC37</f>
        <v>1.7873015873015874</v>
      </c>
      <c r="D37" s="2">
        <v>1</v>
      </c>
      <c r="E37" s="15">
        <f>IF(D35=0,0,D37/D35)</f>
        <v>0.1111111111111111</v>
      </c>
      <c r="G37" s="15">
        <f>IF(F35=0,0,F37/F35)</f>
        <v>0</v>
      </c>
      <c r="H37" s="2">
        <v>2</v>
      </c>
      <c r="I37" s="15">
        <f>IF(H35=0,0,H37/H35)</f>
        <v>0.66666666666666663</v>
      </c>
      <c r="J37" s="2">
        <v>1</v>
      </c>
      <c r="K37" s="15">
        <f>IF(J35=0,0,J37/J35)</f>
        <v>0.5</v>
      </c>
      <c r="L37" s="2">
        <v>1</v>
      </c>
      <c r="M37" s="15">
        <f>IF(L35=0,0,L37/L35)</f>
        <v>0.16666666666666666</v>
      </c>
      <c r="O37" s="15">
        <f>IF(N35=0,0,N37/N35)</f>
        <v>0</v>
      </c>
      <c r="Q37" s="15">
        <f>IF(P35=0,0,P37/P35)</f>
        <v>0</v>
      </c>
      <c r="S37" s="15">
        <f>IF(R35=0,0,R37/R35)</f>
        <v>0</v>
      </c>
      <c r="T37" s="2">
        <v>1</v>
      </c>
      <c r="U37" s="15">
        <f>IF(T35=0,0,T37/T35)</f>
        <v>0.14285714285714285</v>
      </c>
      <c r="W37" s="15">
        <f>IF(V35=0,0,V37/V35)</f>
        <v>0</v>
      </c>
      <c r="Y37" s="15">
        <f>IF(X35=0,0,X37/X35)</f>
        <v>0</v>
      </c>
      <c r="AA37" s="15">
        <f>IF(Z35=0,0,Z37/Z35)</f>
        <v>0</v>
      </c>
      <c r="AC37" s="15">
        <f>IF(AB35=0,0,AB37/AB35)</f>
        <v>0</v>
      </c>
      <c r="AE37" s="15">
        <f>IF(AD35=0,0,AD37/AD35)</f>
        <v>0</v>
      </c>
      <c r="AF37" s="2">
        <v>1</v>
      </c>
      <c r="AG37" s="15">
        <f>IF(AF35=0,0,AF37/AF35)</f>
        <v>0.1</v>
      </c>
      <c r="AI37" s="15">
        <f>IF(AH35=0,0,AH37/AH35)</f>
        <v>0</v>
      </c>
      <c r="AK37" s="15">
        <f>IF(AJ35=0,0,AJ37/AJ35)</f>
        <v>0</v>
      </c>
      <c r="AM37" s="15">
        <f>IF(AL35=0,0,AL37/AL35)</f>
        <v>0</v>
      </c>
      <c r="AN37" s="2">
        <v>0</v>
      </c>
      <c r="AO37" s="15">
        <f>IF(AN35=0,0,AN37/AN35)</f>
        <v>0</v>
      </c>
      <c r="AP37" s="2">
        <v>1</v>
      </c>
      <c r="AQ37" s="15">
        <f>IF(AP35=0,0,AP37/AP35)</f>
        <v>0.1</v>
      </c>
      <c r="AS37" s="15">
        <f>IF(AR35=0,0,AR37/AR35)</f>
        <v>0</v>
      </c>
      <c r="AU37" s="15">
        <f>IF(AT35=0,0,AT37/AT35)</f>
        <v>0</v>
      </c>
      <c r="AW37" s="15">
        <f>IF(AV35=0,0,AV37/AV35)</f>
        <v>0</v>
      </c>
      <c r="AY37" s="15">
        <f>IF(AX35=0,0,AX37/AX35)</f>
        <v>0</v>
      </c>
      <c r="BA37" s="15">
        <f>IF(AZ35=0,0,AZ37/AZ35)</f>
        <v>0</v>
      </c>
      <c r="BC37" s="15">
        <f>IF(BB35=0,0,BB37/BB35)</f>
        <v>0</v>
      </c>
      <c r="BD37" s="9" t="s">
        <v>52</v>
      </c>
      <c r="BE37" s="9" t="s">
        <v>43</v>
      </c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</row>
    <row r="38" spans="1:69" ht="15.75" x14ac:dyDescent="0.3">
      <c r="A38" s="4" t="s">
        <v>1</v>
      </c>
      <c r="B38" s="2">
        <f t="shared" si="4"/>
        <v>9</v>
      </c>
      <c r="C38" s="15"/>
      <c r="E38" s="15">
        <f>IF(D35=0,0,D38/D35)</f>
        <v>0</v>
      </c>
      <c r="F38" s="2">
        <v>1</v>
      </c>
      <c r="G38" s="15">
        <f>IF(F35=0,0,F38/F35)</f>
        <v>0.2</v>
      </c>
      <c r="I38" s="15">
        <f>IF(H35=0,0,H38/H35)</f>
        <v>0</v>
      </c>
      <c r="J38" s="2">
        <v>1</v>
      </c>
      <c r="K38" s="15">
        <f>IF(J35=0,0,J38/J35)</f>
        <v>0.5</v>
      </c>
      <c r="L38" s="2">
        <v>0</v>
      </c>
      <c r="M38" s="15">
        <f>IF(L35=0,0,L38/L35)</f>
        <v>0</v>
      </c>
      <c r="O38" s="15">
        <f>IF(N35=0,0,N38/N35)</f>
        <v>0</v>
      </c>
      <c r="Q38" s="15">
        <f>IF(P35=0,0,P38/P35)</f>
        <v>0</v>
      </c>
      <c r="S38" s="15">
        <f>IF(R35=0,0,R38/R35)</f>
        <v>0</v>
      </c>
      <c r="T38" s="2">
        <v>1</v>
      </c>
      <c r="U38" s="15">
        <f>IF(T35=0,0,T38/T35)</f>
        <v>0.14285714285714285</v>
      </c>
      <c r="W38" s="15">
        <f>IF(V35=0,0,V38/V35)</f>
        <v>0</v>
      </c>
      <c r="Y38" s="15">
        <f>IF(X35=0,0,X38/X35)</f>
        <v>0</v>
      </c>
      <c r="AA38" s="15">
        <f>IF(Z35=0,0,Z38/Z35)</f>
        <v>0</v>
      </c>
      <c r="AC38" s="15">
        <f>IF(AB35=0,0,AB38/AB35)</f>
        <v>0</v>
      </c>
      <c r="AE38" s="15">
        <f>IF(AD35=0,0,AD38/AD35)</f>
        <v>0</v>
      </c>
      <c r="AF38" s="2">
        <v>2</v>
      </c>
      <c r="AG38" s="15">
        <f>IF(AF35=0,0,AF38/AF35)</f>
        <v>0.2</v>
      </c>
      <c r="AI38" s="15">
        <f>IF(AH35=0,0,AH38/AH35)</f>
        <v>0</v>
      </c>
      <c r="AK38" s="15">
        <f>IF(AJ35=0,0,AJ38/AJ35)</f>
        <v>0</v>
      </c>
      <c r="AL38" s="2">
        <v>1</v>
      </c>
      <c r="AM38" s="15">
        <f>IF(AL35=0,0,AL38/AL35)</f>
        <v>0.14285714285714285</v>
      </c>
      <c r="AN38" s="2">
        <v>1</v>
      </c>
      <c r="AO38" s="15">
        <f>IF(AN35=0,0,AN38/AN35)</f>
        <v>0.16666666666666666</v>
      </c>
      <c r="AP38" s="2">
        <v>1</v>
      </c>
      <c r="AQ38" s="15">
        <f>IF(AP35=0,0,AP38/AP35)</f>
        <v>0.1</v>
      </c>
      <c r="AS38" s="15">
        <f>IF(AR35=0,0,AR38/AR35)</f>
        <v>0</v>
      </c>
      <c r="AU38" s="15">
        <f>IF(AT35=0,0,AT38/AT35)</f>
        <v>0</v>
      </c>
      <c r="AW38" s="15">
        <f>IF(AV35=0,0,AV38/AV35)</f>
        <v>0</v>
      </c>
      <c r="AY38" s="15">
        <f>IF(AX35=0,0,AX38/AX35)</f>
        <v>0</v>
      </c>
      <c r="BA38" s="15">
        <f>IF(AZ35=0,0,AZ38/AZ35)</f>
        <v>0</v>
      </c>
      <c r="BC38" s="15">
        <f>IF(BB35=0,0,BB38/BB35)</f>
        <v>0</v>
      </c>
      <c r="BD38" s="9" t="s">
        <v>53</v>
      </c>
      <c r="BE38" s="9" t="s">
        <v>44</v>
      </c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</row>
    <row r="39" spans="1:69" x14ac:dyDescent="0.25">
      <c r="A39" s="2" t="s">
        <v>3</v>
      </c>
      <c r="B39" s="2">
        <f t="shared" si="4"/>
        <v>7</v>
      </c>
      <c r="C39" s="15">
        <f t="shared" ref="C39:C48" si="5">E39+G39+I39+K39+M39+O39+Q39+S39+U39+W39+Y39+AA39+AC39+AE39+AG39+AI39+AK39+AM39+AO39+AQ39+AS39+AU39+AW39+AY39+BA39+BC39</f>
        <v>1.0984126984126985</v>
      </c>
      <c r="D39" s="2">
        <v>2</v>
      </c>
      <c r="E39" s="15">
        <f>IF(D35=0,0,D39/D35)</f>
        <v>0.22222222222222221</v>
      </c>
      <c r="F39" s="2">
        <v>1</v>
      </c>
      <c r="G39" s="15">
        <f>IF(F35=0,0,F39/F35)</f>
        <v>0.2</v>
      </c>
      <c r="I39" s="15">
        <f>IF(H35=0,0,H39/H35)</f>
        <v>0</v>
      </c>
      <c r="K39" s="15">
        <f>IF(J35=0,0,J39/J35)</f>
        <v>0</v>
      </c>
      <c r="M39" s="15">
        <f>IF(L35=0,0,L39/L35)</f>
        <v>0</v>
      </c>
      <c r="O39" s="15">
        <f>IF(N35=0,0,N39/N35)</f>
        <v>0</v>
      </c>
      <c r="Q39" s="15">
        <f>IF(P35=0,0,P39/P35)</f>
        <v>0</v>
      </c>
      <c r="S39" s="15">
        <f>IF(R35=0,0,R39/R35)</f>
        <v>0</v>
      </c>
      <c r="U39" s="15">
        <f>IF(T35=0,0,T39/T35)</f>
        <v>0</v>
      </c>
      <c r="W39" s="15">
        <f>IF(V35=0,0,V39/V35)</f>
        <v>0</v>
      </c>
      <c r="Y39" s="15">
        <f>IF(X35=0,0,X39/X35)</f>
        <v>0</v>
      </c>
      <c r="AA39" s="15">
        <f>IF(Z35=0,0,Z39/Z35)</f>
        <v>0</v>
      </c>
      <c r="AC39" s="15">
        <f>IF(AB35=0,0,AB39/AB35)</f>
        <v>0</v>
      </c>
      <c r="AE39" s="15">
        <f>IF(AD35=0,0,AD39/AD35)</f>
        <v>0</v>
      </c>
      <c r="AF39" s="2">
        <v>1</v>
      </c>
      <c r="AG39" s="15">
        <f>IF(AF35=0,0,AF39/AF35)</f>
        <v>0.1</v>
      </c>
      <c r="AI39" s="15">
        <f>IF(AH35=0,0,AH39/AH35)</f>
        <v>0</v>
      </c>
      <c r="AK39" s="15">
        <f>IF(AJ35=0,0,AJ39/AJ35)</f>
        <v>0</v>
      </c>
      <c r="AL39" s="2">
        <v>1</v>
      </c>
      <c r="AM39" s="15">
        <f>IF(AL35=0,0,AL39/AL35)</f>
        <v>0.14285714285714285</v>
      </c>
      <c r="AO39" s="15">
        <f>IF(AN35=0,0,AN39/AN35)</f>
        <v>0</v>
      </c>
      <c r="AP39" s="2">
        <v>1</v>
      </c>
      <c r="AQ39" s="15">
        <f>IF(AP35=0,0,AP39/AP35)</f>
        <v>0.1</v>
      </c>
      <c r="AR39" s="2">
        <v>1</v>
      </c>
      <c r="AS39" s="15">
        <f>IF(AR35=0,0,AR39/AR35)</f>
        <v>0.33333333333333331</v>
      </c>
      <c r="AU39" s="15">
        <f>IF(AT35=0,0,AT39/AT35)</f>
        <v>0</v>
      </c>
      <c r="AW39" s="15">
        <f>IF(AV35=0,0,AV39/AV35)</f>
        <v>0</v>
      </c>
      <c r="AY39" s="15">
        <f>IF(AX35=0,0,AX39/AX35)</f>
        <v>0</v>
      </c>
      <c r="BA39" s="15">
        <f>IF(AZ35=0,0,AZ39/AZ35)</f>
        <v>0</v>
      </c>
      <c r="BC39" s="15">
        <f>IF(BB35=0,0,BB39/BB35)</f>
        <v>0</v>
      </c>
      <c r="BD39" s="9" t="s">
        <v>54</v>
      </c>
      <c r="BE39" s="9" t="s">
        <v>45</v>
      </c>
      <c r="BF39" s="9" t="s">
        <v>47</v>
      </c>
      <c r="BG39" s="9" t="s">
        <v>44</v>
      </c>
      <c r="BH39" s="9" t="s">
        <v>42</v>
      </c>
      <c r="BI39" s="9" t="s">
        <v>49</v>
      </c>
      <c r="BJ39" s="9" t="s">
        <v>63</v>
      </c>
      <c r="BK39" s="9" t="s">
        <v>46</v>
      </c>
      <c r="BL39" s="9" t="s">
        <v>64</v>
      </c>
      <c r="BM39" s="9" t="s">
        <v>63</v>
      </c>
      <c r="BN39" s="9"/>
      <c r="BO39" s="9"/>
      <c r="BP39" s="9"/>
      <c r="BQ39" s="9"/>
    </row>
    <row r="40" spans="1:69" x14ac:dyDescent="0.25">
      <c r="A40" s="2" t="s">
        <v>5</v>
      </c>
      <c r="B40" s="2">
        <f t="shared" si="4"/>
        <v>7</v>
      </c>
      <c r="C40" s="15">
        <f t="shared" si="5"/>
        <v>1.265079365079365</v>
      </c>
      <c r="D40" s="2">
        <v>2</v>
      </c>
      <c r="E40" s="15">
        <f>IF(D35=0,0,D40/D35)</f>
        <v>0.22222222222222221</v>
      </c>
      <c r="F40" s="2">
        <v>1</v>
      </c>
      <c r="G40" s="15">
        <f>IF(F35=0,0,F40/F35)</f>
        <v>0.2</v>
      </c>
      <c r="I40" s="15">
        <f>IF(H35=0,0,H40/H35)</f>
        <v>0</v>
      </c>
      <c r="K40" s="15">
        <f>IF(J35=0,0,J40/J35)</f>
        <v>0</v>
      </c>
      <c r="M40" s="15">
        <f>IF(L35=0,0,L40/L35)</f>
        <v>0</v>
      </c>
      <c r="O40" s="15">
        <f>IF(N35=0,0,N40/N35)</f>
        <v>0</v>
      </c>
      <c r="Q40" s="15">
        <f>IF(P35=0,0,P40/P35)</f>
        <v>0</v>
      </c>
      <c r="R40" s="2">
        <v>1</v>
      </c>
      <c r="S40" s="15">
        <f>IF(R35=0,0,R40/R35)</f>
        <v>0.5</v>
      </c>
      <c r="T40" s="2">
        <v>1</v>
      </c>
      <c r="U40" s="15">
        <f>IF(T35=0,0,T40/T35)</f>
        <v>0.14285714285714285</v>
      </c>
      <c r="W40" s="15">
        <f>IF(V35=0,0,V40/V35)</f>
        <v>0</v>
      </c>
      <c r="Y40" s="15">
        <f>IF(X35=0,0,X40/X35)</f>
        <v>0</v>
      </c>
      <c r="AA40" s="15">
        <f>IF(Z35=0,0,Z40/Z35)</f>
        <v>0</v>
      </c>
      <c r="AC40" s="15">
        <f>IF(AB35=0,0,AB40/AB35)</f>
        <v>0</v>
      </c>
      <c r="AE40" s="15">
        <f>IF(AD35=0,0,AD40/AD35)</f>
        <v>0</v>
      </c>
      <c r="AG40" s="15">
        <f>IF(AF35=0,0,AF40/AF35)</f>
        <v>0</v>
      </c>
      <c r="AI40" s="15">
        <f>IF(AH35=0,0,AH40/AH35)</f>
        <v>0</v>
      </c>
      <c r="AK40" s="15">
        <f>IF(AJ35=0,0,AJ40/AJ35)</f>
        <v>0</v>
      </c>
      <c r="AM40" s="15">
        <f>IF(AL35=0,0,AL40/AL35)</f>
        <v>0</v>
      </c>
      <c r="AO40" s="15">
        <f>IF(AN35=0,0,AN40/AN35)</f>
        <v>0</v>
      </c>
      <c r="AP40" s="2">
        <v>2</v>
      </c>
      <c r="AQ40" s="15">
        <f>IF(AP35=0,0,AP40/AP35)</f>
        <v>0.2</v>
      </c>
      <c r="AS40" s="15">
        <f>IF(AR35=0,0,AR40/AR35)</f>
        <v>0</v>
      </c>
      <c r="AU40" s="15">
        <f>IF(AT35=0,0,AT40/AT35)</f>
        <v>0</v>
      </c>
      <c r="AW40" s="15">
        <f>IF(AV35=0,0,AV40/AV35)</f>
        <v>0</v>
      </c>
      <c r="AY40" s="15">
        <f>IF(AX35=0,0,AX40/AX35)</f>
        <v>0</v>
      </c>
      <c r="BA40" s="15">
        <f>IF(AZ35=0,0,AZ40/AZ35)</f>
        <v>0</v>
      </c>
      <c r="BC40" s="15">
        <f>IF(BB35=0,0,BB40/BB35)</f>
        <v>0</v>
      </c>
      <c r="BD40" s="9" t="s">
        <v>55</v>
      </c>
      <c r="BE40" s="9" t="s">
        <v>46</v>
      </c>
      <c r="BF40" s="9"/>
      <c r="BG40" s="9"/>
      <c r="BH40" s="9"/>
      <c r="BI40" s="9"/>
      <c r="BJ40" s="9"/>
      <c r="BK40" s="9"/>
      <c r="BL40" s="9"/>
      <c r="BM40" s="9"/>
      <c r="BN40" s="9"/>
      <c r="BO40" s="9"/>
      <c r="BP40" s="9"/>
      <c r="BQ40" s="9"/>
    </row>
    <row r="41" spans="1:69" x14ac:dyDescent="0.25">
      <c r="A41" s="2" t="s">
        <v>4</v>
      </c>
      <c r="B41" s="2">
        <f t="shared" si="4"/>
        <v>7</v>
      </c>
      <c r="C41" s="15">
        <f t="shared" si="5"/>
        <v>1.2396825396825397</v>
      </c>
      <c r="D41" s="2">
        <v>1</v>
      </c>
      <c r="E41" s="15">
        <f>IF(D35=0,0,D41/D35)</f>
        <v>0.1111111111111111</v>
      </c>
      <c r="G41" s="15">
        <f>IF(F35=0,0,F41/F35)</f>
        <v>0</v>
      </c>
      <c r="I41" s="15">
        <f>IF(H35=0,0,H41/H35)</f>
        <v>0</v>
      </c>
      <c r="K41" s="15">
        <f>IF(J35=0,0,J41/J35)</f>
        <v>0</v>
      </c>
      <c r="M41" s="15">
        <f>IF(L35=0,0,L41/L35)</f>
        <v>0</v>
      </c>
      <c r="O41" s="15">
        <f>IF(N35=0,0,N41/N35)</f>
        <v>0</v>
      </c>
      <c r="Q41" s="15">
        <f>IF(P35=0,0,P41/P35)</f>
        <v>0</v>
      </c>
      <c r="R41" s="2">
        <v>1</v>
      </c>
      <c r="S41" s="15">
        <f>IF(R35=0,0,R41/R35)</f>
        <v>0.5</v>
      </c>
      <c r="T41" s="2">
        <v>1</v>
      </c>
      <c r="U41" s="15">
        <f>IF(T35=0,0,T41/T35)</f>
        <v>0.14285714285714285</v>
      </c>
      <c r="W41" s="15">
        <f>IF(V35=0,0,V41/V35)</f>
        <v>0</v>
      </c>
      <c r="Y41" s="15">
        <f>IF(X35=0,0,X41/X35)</f>
        <v>0</v>
      </c>
      <c r="AA41" s="15">
        <f>IF(Z35=0,0,Z41/Z35)</f>
        <v>0</v>
      </c>
      <c r="AC41" s="15">
        <f>IF(AB35=0,0,AB41/AB35)</f>
        <v>0</v>
      </c>
      <c r="AE41" s="15">
        <f>IF(AD35=0,0,AD41/AD35)</f>
        <v>0</v>
      </c>
      <c r="AF41" s="2">
        <v>2</v>
      </c>
      <c r="AG41" s="15">
        <f>IF(AF35=0,0,AF41/AF35)</f>
        <v>0.2</v>
      </c>
      <c r="AI41" s="15">
        <f>IF(AH35=0,0,AH41/AH35)</f>
        <v>0</v>
      </c>
      <c r="AK41" s="15">
        <f>IF(AJ35=0,0,AJ41/AJ35)</f>
        <v>0</v>
      </c>
      <c r="AL41" s="2">
        <v>2</v>
      </c>
      <c r="AM41" s="15">
        <f>IF(AL35=0,0,AL41/AL35)</f>
        <v>0.2857142857142857</v>
      </c>
      <c r="AO41" s="15">
        <f>IF(AN35=0,0,AN41/AN35)</f>
        <v>0</v>
      </c>
      <c r="AQ41" s="15">
        <f>IF(AP35=0,0,AP41/AP35)</f>
        <v>0</v>
      </c>
      <c r="AS41" s="15">
        <f>IF(AR35=0,0,AR41/AR35)</f>
        <v>0</v>
      </c>
      <c r="AU41" s="15">
        <f>IF(AT35=0,0,AT41/AT35)</f>
        <v>0</v>
      </c>
      <c r="AW41" s="15">
        <f>IF(AV35=0,0,AV41/AV35)</f>
        <v>0</v>
      </c>
      <c r="AY41" s="15">
        <f>IF(AX35=0,0,AX41/AX35)</f>
        <v>0</v>
      </c>
      <c r="BA41" s="15">
        <f>IF(AZ35=0,0,AZ41/AZ35)</f>
        <v>0</v>
      </c>
      <c r="BC41" s="15">
        <f>IF(BB35=0,0,BB41/BB35)</f>
        <v>0</v>
      </c>
      <c r="BD41" s="9" t="s">
        <v>56</v>
      </c>
      <c r="BE41" s="9" t="s">
        <v>45</v>
      </c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</row>
    <row r="42" spans="1:69" x14ac:dyDescent="0.25">
      <c r="A42" s="2" t="s">
        <v>7</v>
      </c>
      <c r="B42" s="2">
        <f t="shared" si="4"/>
        <v>7</v>
      </c>
      <c r="C42" s="15">
        <f t="shared" si="5"/>
        <v>2.0333333333333332</v>
      </c>
      <c r="E42" s="15">
        <f>IF(D35=0,0,D42/D35)</f>
        <v>0</v>
      </c>
      <c r="G42" s="15">
        <f>IF(F35=0,0,F42/F35)</f>
        <v>0</v>
      </c>
      <c r="H42" s="2">
        <v>1</v>
      </c>
      <c r="I42" s="15">
        <f>IF(H35=0,0,H42/H35)</f>
        <v>0.33333333333333331</v>
      </c>
      <c r="K42" s="15">
        <f>IF(J35=0,0,J42/J35)</f>
        <v>0</v>
      </c>
      <c r="M42" s="15">
        <f>IF(L35=0,0,L42/L35)</f>
        <v>0</v>
      </c>
      <c r="O42" s="15">
        <f>IF(N35=0,0,N42/N35)</f>
        <v>0</v>
      </c>
      <c r="Q42" s="15">
        <f>IF(P35=0,0,P42/P35)</f>
        <v>0</v>
      </c>
      <c r="S42" s="15">
        <f>IF(R35=0,0,R42/R35)</f>
        <v>0</v>
      </c>
      <c r="U42" s="15">
        <f>IF(T35=0,0,T42/T35)</f>
        <v>0</v>
      </c>
      <c r="W42" s="15">
        <f>IF(V35=0,0,V42/V35)</f>
        <v>0</v>
      </c>
      <c r="Y42" s="15">
        <f>IF(X35=0,0,X42/X35)</f>
        <v>0</v>
      </c>
      <c r="Z42" s="2">
        <v>1</v>
      </c>
      <c r="AA42" s="15">
        <f>IF(Z35=0,0,Z42/Z35)</f>
        <v>0.5</v>
      </c>
      <c r="AB42" s="2">
        <v>1</v>
      </c>
      <c r="AC42" s="15">
        <f>IF(AB35=0,0,AB42/AB35)</f>
        <v>0.5</v>
      </c>
      <c r="AE42" s="15">
        <f>IF(AD35=0,0,AD42/AD35)</f>
        <v>0</v>
      </c>
      <c r="AF42" s="2">
        <v>2</v>
      </c>
      <c r="AG42" s="15">
        <f>IF(AF35=0,0,AF42/AF35)</f>
        <v>0.2</v>
      </c>
      <c r="AI42" s="15">
        <f>IF(AH35=0,0,AH42/AH35)</f>
        <v>0</v>
      </c>
      <c r="AK42" s="15">
        <f>IF(AJ35=0,0,AJ42/AJ35)</f>
        <v>0</v>
      </c>
      <c r="AM42" s="15">
        <f>IF(AL35=0,0,AL42/AL35)</f>
        <v>0</v>
      </c>
      <c r="AN42" s="2">
        <v>1</v>
      </c>
      <c r="AO42" s="15">
        <f>IF(AN35=0,0,AN42/AN35)</f>
        <v>0.16666666666666666</v>
      </c>
      <c r="AQ42" s="15">
        <f>IF(AP35=0,0,AP42/AP35)</f>
        <v>0</v>
      </c>
      <c r="AR42" s="2">
        <v>1</v>
      </c>
      <c r="AS42" s="15">
        <f>IF(AR35=0,0,AR42/AR35)</f>
        <v>0.33333333333333331</v>
      </c>
      <c r="AU42" s="15">
        <f>IF(AT35=0,0,AT42/AT35)</f>
        <v>0</v>
      </c>
      <c r="AW42" s="15">
        <f>IF(AV35=0,0,AV42/AV35)</f>
        <v>0</v>
      </c>
      <c r="AY42" s="15">
        <f>IF(AX35=0,0,AX42/AX35)</f>
        <v>0</v>
      </c>
      <c r="BA42" s="15">
        <f>IF(AZ35=0,0,AZ42/AZ35)</f>
        <v>0</v>
      </c>
      <c r="BC42" s="15">
        <f>IF(BB35=0,0,BB42/BB35)</f>
        <v>0</v>
      </c>
      <c r="BD42" s="9" t="s">
        <v>57</v>
      </c>
      <c r="BE42" s="9" t="s">
        <v>47</v>
      </c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</row>
    <row r="43" spans="1:69" x14ac:dyDescent="0.25">
      <c r="A43" s="2" t="s">
        <v>6</v>
      </c>
      <c r="B43" s="2">
        <f t="shared" si="4"/>
        <v>5</v>
      </c>
      <c r="C43" s="15">
        <f t="shared" si="5"/>
        <v>0.7761904761904761</v>
      </c>
      <c r="E43" s="15">
        <f>IF(D35=0,0,D43/D35)</f>
        <v>0</v>
      </c>
      <c r="G43" s="15">
        <f>IF(F35=0,0,F43/F35)</f>
        <v>0</v>
      </c>
      <c r="I43" s="15">
        <f>IF(H35=0,0,H43/H35)</f>
        <v>0</v>
      </c>
      <c r="K43" s="15">
        <f>IF(J35=0,0,J43/J35)</f>
        <v>0</v>
      </c>
      <c r="M43" s="15">
        <f>IF(L35=0,0,L43/L35)</f>
        <v>0</v>
      </c>
      <c r="O43" s="15">
        <f>IF(N35=0,0,N43/N35)</f>
        <v>0</v>
      </c>
      <c r="Q43" s="15">
        <f>IF(P35=0,0,P43/P35)</f>
        <v>0</v>
      </c>
      <c r="S43" s="15">
        <f>IF(R35=0,0,R43/R35)</f>
        <v>0</v>
      </c>
      <c r="U43" s="15">
        <f>IF(T35=0,0,T43/T35)</f>
        <v>0</v>
      </c>
      <c r="W43" s="15">
        <f>IF(V35=0,0,V43/V35)</f>
        <v>0</v>
      </c>
      <c r="Y43" s="15">
        <f>IF(X35=0,0,X43/X35)</f>
        <v>0</v>
      </c>
      <c r="AA43" s="15">
        <f>IF(Z35=0,0,Z43/Z35)</f>
        <v>0</v>
      </c>
      <c r="AC43" s="15">
        <f>IF(AB35=0,0,AB43/AB35)</f>
        <v>0</v>
      </c>
      <c r="AE43" s="15">
        <f>IF(AD35=0,0,AD43/AD35)</f>
        <v>0</v>
      </c>
      <c r="AF43" s="2">
        <v>1</v>
      </c>
      <c r="AG43" s="15">
        <f>IF(AF35=0,0,AF43/AF35)</f>
        <v>0.1</v>
      </c>
      <c r="AI43" s="15">
        <f>IF(AH35=0,0,AH43/AH35)</f>
        <v>0</v>
      </c>
      <c r="AK43" s="15">
        <f>IF(AJ35=0,0,AJ43/AJ35)</f>
        <v>0</v>
      </c>
      <c r="AL43" s="2">
        <v>1</v>
      </c>
      <c r="AM43" s="15">
        <f>IF(AL35=0,0,AL43/AL35)</f>
        <v>0.14285714285714285</v>
      </c>
      <c r="AO43" s="15">
        <f>IF(AN35=0,0,AN43/AN35)</f>
        <v>0</v>
      </c>
      <c r="AP43" s="2">
        <v>2</v>
      </c>
      <c r="AQ43" s="15">
        <f>IF(AP35=0,0,AP43/AP35)</f>
        <v>0.2</v>
      </c>
      <c r="AR43" s="2">
        <v>1</v>
      </c>
      <c r="AS43" s="15">
        <f>IF(AR35=0,0,AR43/AR35)</f>
        <v>0.33333333333333331</v>
      </c>
      <c r="AU43" s="15">
        <f>IF(AT35=0,0,AT43/AT35)</f>
        <v>0</v>
      </c>
      <c r="AW43" s="15">
        <f>IF(AV35=0,0,AV43/AV35)</f>
        <v>0</v>
      </c>
      <c r="AY43" s="15">
        <f>IF(AX35=0,0,AX43/AX35)</f>
        <v>0</v>
      </c>
      <c r="BA43" s="15">
        <f>IF(AZ35=0,0,AZ43/AZ35)</f>
        <v>0</v>
      </c>
      <c r="BC43" s="15">
        <f>IF(BB35=0,0,BB43/BB35)</f>
        <v>0</v>
      </c>
      <c r="BD43" s="9" t="s">
        <v>58</v>
      </c>
      <c r="BE43" s="9" t="s">
        <v>47</v>
      </c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</row>
    <row r="44" spans="1:69" x14ac:dyDescent="0.25">
      <c r="A44" s="2" t="s">
        <v>8</v>
      </c>
      <c r="B44" s="2">
        <f t="shared" si="4"/>
        <v>5</v>
      </c>
      <c r="C44" s="15">
        <f t="shared" si="5"/>
        <v>1.176190476190476</v>
      </c>
      <c r="E44" s="15">
        <f>IF(D35=0,0,D44/D35)</f>
        <v>0</v>
      </c>
      <c r="F44" s="2">
        <v>1</v>
      </c>
      <c r="G44" s="15">
        <f>IF(F35=0,0,F44/F35)</f>
        <v>0.2</v>
      </c>
      <c r="I44" s="15">
        <f>IF(H35=0,0,H44/H35)</f>
        <v>0</v>
      </c>
      <c r="K44" s="15">
        <f>IF(J35=0,0,J44/J35)</f>
        <v>0</v>
      </c>
      <c r="L44" s="2">
        <v>2</v>
      </c>
      <c r="M44" s="15">
        <f>IF(L35=0,0,L44/L35)</f>
        <v>0.33333333333333331</v>
      </c>
      <c r="O44" s="15">
        <f>IF(N35=0,0,N44/N35)</f>
        <v>0</v>
      </c>
      <c r="Q44" s="15">
        <f>IF(P35=0,0,P44/P35)</f>
        <v>0</v>
      </c>
      <c r="S44" s="15">
        <f>IF(R35=0,0,R44/R35)</f>
        <v>0</v>
      </c>
      <c r="U44" s="15">
        <f>IF(T35=0,0,T44/T35)</f>
        <v>0</v>
      </c>
      <c r="W44" s="15">
        <f>IF(V35=0,0,V44/V35)</f>
        <v>0</v>
      </c>
      <c r="Y44" s="15">
        <f>IF(X35=0,0,X44/X35)</f>
        <v>0</v>
      </c>
      <c r="Z44" s="2">
        <v>1</v>
      </c>
      <c r="AA44" s="15">
        <f>IF(Z35=0,0,Z44/Z35)</f>
        <v>0.5</v>
      </c>
      <c r="AC44" s="15">
        <f>IF(AB35=0,0,AB44/AB35)</f>
        <v>0</v>
      </c>
      <c r="AE44" s="15">
        <f>IF(AD35=0,0,AD44/AD35)</f>
        <v>0</v>
      </c>
      <c r="AG44" s="15">
        <f>IF(AF35=0,0,AF44/AF35)</f>
        <v>0</v>
      </c>
      <c r="AI44" s="15">
        <f>IF(AH35=0,0,AH44/AH35)</f>
        <v>0</v>
      </c>
      <c r="AK44" s="15">
        <f>IF(AJ35=0,0,AJ44/AJ35)</f>
        <v>0</v>
      </c>
      <c r="AL44" s="2">
        <v>1</v>
      </c>
      <c r="AM44" s="15">
        <f>IF(AL35=0,0,AL44/AL35)</f>
        <v>0.14285714285714285</v>
      </c>
      <c r="AO44" s="15">
        <f>IF(AN35=0,0,AN44/AN35)</f>
        <v>0</v>
      </c>
      <c r="AQ44" s="15">
        <f>IF(AP35=0,0,AP44/AP35)</f>
        <v>0</v>
      </c>
      <c r="AS44" s="15">
        <f>IF(AR35=0,0,AR44/AR35)</f>
        <v>0</v>
      </c>
      <c r="AU44" s="15">
        <f>IF(AT35=0,0,AT44/AT35)</f>
        <v>0</v>
      </c>
      <c r="AW44" s="15">
        <f>IF(AV35=0,0,AV44/AV35)</f>
        <v>0</v>
      </c>
      <c r="AY44" s="15">
        <f>IF(AX35=0,0,AX44/AX35)</f>
        <v>0</v>
      </c>
      <c r="BA44" s="15">
        <f>IF(AZ35=0,0,AZ44/AZ35)</f>
        <v>0</v>
      </c>
      <c r="BC44" s="15">
        <f>IF(BB35=0,0,BB44/BB35)</f>
        <v>0</v>
      </c>
      <c r="BD44" s="9" t="s">
        <v>59</v>
      </c>
      <c r="BE44" s="9" t="s">
        <v>45</v>
      </c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</row>
    <row r="45" spans="1:69" x14ac:dyDescent="0.25">
      <c r="A45" s="2" t="s">
        <v>10</v>
      </c>
      <c r="B45" s="2">
        <f t="shared" si="4"/>
        <v>3</v>
      </c>
      <c r="C45" s="15">
        <f t="shared" si="5"/>
        <v>0.45396825396825397</v>
      </c>
      <c r="D45" s="2">
        <v>1</v>
      </c>
      <c r="E45" s="15">
        <f>IF(D35=0,0,D45/D35)</f>
        <v>0.1111111111111111</v>
      </c>
      <c r="F45" s="2">
        <v>1</v>
      </c>
      <c r="G45" s="15">
        <f>IF(F35=0,0,F45/F35)</f>
        <v>0.2</v>
      </c>
      <c r="I45" s="15">
        <f>IF(H35=0,0,H45/H35)</f>
        <v>0</v>
      </c>
      <c r="K45" s="15">
        <f>IF(J35=0,0,J45/J35)</f>
        <v>0</v>
      </c>
      <c r="M45" s="15">
        <f>IF(L35=0,0,L45/L35)</f>
        <v>0</v>
      </c>
      <c r="O45" s="15">
        <f>IF(N35=0,0,N45/N35)</f>
        <v>0</v>
      </c>
      <c r="Q45" s="15">
        <f>IF(P35=0,0,P45/P35)</f>
        <v>0</v>
      </c>
      <c r="S45" s="15">
        <f>IF(R35=0,0,R45/R35)</f>
        <v>0</v>
      </c>
      <c r="T45" s="2">
        <v>1</v>
      </c>
      <c r="U45" s="15">
        <f>IF(T35=0,0,T45/T35)</f>
        <v>0.14285714285714285</v>
      </c>
      <c r="W45" s="15">
        <f>IF(V35=0,0,V45/V35)</f>
        <v>0</v>
      </c>
      <c r="Y45" s="15">
        <f>IF(X35=0,0,X45/X35)</f>
        <v>0</v>
      </c>
      <c r="AA45" s="15">
        <f>IF(Z35=0,0,Z45/Z35)</f>
        <v>0</v>
      </c>
      <c r="AC45" s="15">
        <f>IF(AB35=0,0,AB45/AB35)</f>
        <v>0</v>
      </c>
      <c r="AE45" s="15">
        <f>IF(AD35=0,0,AD45/AD35)</f>
        <v>0</v>
      </c>
      <c r="AG45" s="15">
        <f>IF(AF35=0,0,AF45/AF35)</f>
        <v>0</v>
      </c>
      <c r="AI45" s="15">
        <f>IF(AH35=0,0,AH45/AH35)</f>
        <v>0</v>
      </c>
      <c r="AK45" s="15">
        <f>IF(AJ35=0,0,AJ45/AJ35)</f>
        <v>0</v>
      </c>
      <c r="AM45" s="15">
        <f>IF(AL35=0,0,AL45/AL35)</f>
        <v>0</v>
      </c>
      <c r="AO45" s="15">
        <f>IF(AN35=0,0,AN45/AN35)</f>
        <v>0</v>
      </c>
      <c r="AQ45" s="15">
        <f>IF(AP35=0,0,AP45/AP35)</f>
        <v>0</v>
      </c>
      <c r="AS45" s="15">
        <f>IF(AR35=0,0,AR45/AR35)</f>
        <v>0</v>
      </c>
      <c r="AU45" s="15">
        <f>IF(AT35=0,0,AT45/AT35)</f>
        <v>0</v>
      </c>
      <c r="AW45" s="15">
        <f>IF(AV35=0,0,AV45/AV35)</f>
        <v>0</v>
      </c>
      <c r="AY45" s="15">
        <f>IF(AX35=0,0,AX45/AX35)</f>
        <v>0</v>
      </c>
      <c r="BA45" s="15">
        <f>IF(AZ35=0,0,AZ45/AZ35)</f>
        <v>0</v>
      </c>
      <c r="BC45" s="15">
        <f>IF(BB35=0,0,BB45/BB35)</f>
        <v>0</v>
      </c>
      <c r="BD45" s="9" t="s">
        <v>60</v>
      </c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</row>
    <row r="46" spans="1:69" x14ac:dyDescent="0.25">
      <c r="A46" s="2" t="s">
        <v>12</v>
      </c>
      <c r="B46" s="2">
        <f t="shared" si="4"/>
        <v>3</v>
      </c>
      <c r="C46" s="15">
        <f t="shared" si="5"/>
        <v>0.75396825396825395</v>
      </c>
      <c r="D46" s="2">
        <v>1</v>
      </c>
      <c r="E46" s="15">
        <f>IF(D35=0,0,D46/D35)</f>
        <v>0.1111111111111111</v>
      </c>
      <c r="G46" s="15">
        <f>IF(F35=0,0,F46/F35)</f>
        <v>0</v>
      </c>
      <c r="I46" s="15">
        <f>IF(H35=0,0,H46/H35)</f>
        <v>0</v>
      </c>
      <c r="K46" s="15">
        <f>IF(J35=0,0,J46/J35)</f>
        <v>0</v>
      </c>
      <c r="M46" s="15">
        <f>IF(L35=0,0,L46/L35)</f>
        <v>0</v>
      </c>
      <c r="O46" s="15">
        <f>IF(N35=0,0,N46/N35)</f>
        <v>0</v>
      </c>
      <c r="Q46" s="15">
        <f>IF(P35=0,0,P46/P35)</f>
        <v>0</v>
      </c>
      <c r="S46" s="15">
        <f>IF(R35=0,0,R46/R35)</f>
        <v>0</v>
      </c>
      <c r="T46" s="2">
        <v>1</v>
      </c>
      <c r="U46" s="15">
        <f>IF(T35=0,0,T46/T35)</f>
        <v>0.14285714285714285</v>
      </c>
      <c r="W46" s="15">
        <f>IF(V35=0,0,V46/V35)</f>
        <v>0</v>
      </c>
      <c r="Y46" s="15">
        <f>IF(X35=0,0,X46/X35)</f>
        <v>0</v>
      </c>
      <c r="AA46" s="15">
        <f>IF(Z35=0,0,Z46/Z35)</f>
        <v>0</v>
      </c>
      <c r="AB46" s="2">
        <v>1</v>
      </c>
      <c r="AC46" s="15">
        <f>IF(AB35=0,0,AB46/AB35)</f>
        <v>0.5</v>
      </c>
      <c r="AE46" s="15">
        <f>IF(AD35=0,0,AD46/AD35)</f>
        <v>0</v>
      </c>
      <c r="AG46" s="15">
        <f>IF(AF35=0,0,AF46/AF35)</f>
        <v>0</v>
      </c>
      <c r="AI46" s="15">
        <f>IF(AH35=0,0,AH46/AH35)</f>
        <v>0</v>
      </c>
      <c r="AK46" s="15">
        <f>IF(AJ35=0,0,AJ46/AJ35)</f>
        <v>0</v>
      </c>
      <c r="AM46" s="15">
        <f>IF(AL35=0,0,AL46/AL35)</f>
        <v>0</v>
      </c>
      <c r="AO46" s="15">
        <f>IF(AN35=0,0,AN46/AN35)</f>
        <v>0</v>
      </c>
      <c r="AQ46" s="15">
        <f>IF(AP35=0,0,AP46/AP35)</f>
        <v>0</v>
      </c>
      <c r="AS46" s="15">
        <f>IF(AR35=0,0,AR46/AR35)</f>
        <v>0</v>
      </c>
      <c r="AU46" s="15">
        <f>IF(AT35=0,0,AT46/AT35)</f>
        <v>0</v>
      </c>
      <c r="AW46" s="15">
        <f>IF(AV35=0,0,AV46/AV35)</f>
        <v>0</v>
      </c>
      <c r="AY46" s="15">
        <f>IF(AX35=0,0,AX46/AX35)</f>
        <v>0</v>
      </c>
      <c r="BA46" s="15">
        <f>IF(AZ35=0,0,AZ46/AZ35)</f>
        <v>0</v>
      </c>
      <c r="BC46" s="15">
        <f>IF(BB35=0,0,BB46/BB35)</f>
        <v>0</v>
      </c>
      <c r="BD46" s="9" t="s">
        <v>61</v>
      </c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</row>
    <row r="47" spans="1:69" x14ac:dyDescent="0.25">
      <c r="A47" s="2" t="s">
        <v>9</v>
      </c>
      <c r="B47" s="2">
        <f t="shared" si="4"/>
        <v>3</v>
      </c>
      <c r="C47" s="15">
        <f t="shared" si="5"/>
        <v>0.43333333333333335</v>
      </c>
      <c r="E47" s="15">
        <f>IF(D35=0,0,D47/D35)</f>
        <v>0</v>
      </c>
      <c r="G47" s="15">
        <f>IF(F35=0,0,F47/F35)</f>
        <v>0</v>
      </c>
      <c r="I47" s="15">
        <f>IF(H35=0,0,H47/H35)</f>
        <v>0</v>
      </c>
      <c r="K47" s="15">
        <f>IF(J35=0,0,J47/J35)</f>
        <v>0</v>
      </c>
      <c r="L47" s="2">
        <v>1</v>
      </c>
      <c r="M47" s="15">
        <f>IF(L35=0,0,L47/L35)</f>
        <v>0.16666666666666666</v>
      </c>
      <c r="O47" s="15">
        <f>IF(N35=0,0,N47/N35)</f>
        <v>0</v>
      </c>
      <c r="Q47" s="15">
        <f>IF(P35=0,0,P47/P35)</f>
        <v>0</v>
      </c>
      <c r="S47" s="15">
        <f>IF(R35=0,0,R47/R35)</f>
        <v>0</v>
      </c>
      <c r="U47" s="15">
        <f>IF(T35=0,0,T47/T35)</f>
        <v>0</v>
      </c>
      <c r="W47" s="15">
        <f>IF(V35=0,0,V47/V35)</f>
        <v>0</v>
      </c>
      <c r="Y47" s="15">
        <f>IF(X35=0,0,X47/X35)</f>
        <v>0</v>
      </c>
      <c r="AA47" s="15">
        <f>IF(Z35=0,0,Z47/Z35)</f>
        <v>0</v>
      </c>
      <c r="AC47" s="15">
        <f>IF(AB35=0,0,AB47/AB35)</f>
        <v>0</v>
      </c>
      <c r="AE47" s="15">
        <f>IF(AD35=0,0,AD47/AD35)</f>
        <v>0</v>
      </c>
      <c r="AG47" s="15">
        <f>IF(AF35=0,0,AF47/AF35)</f>
        <v>0</v>
      </c>
      <c r="AI47" s="15">
        <f>IF(AH35=0,0,AH47/AH35)</f>
        <v>0</v>
      </c>
      <c r="AK47" s="15">
        <f>IF(AJ35=0,0,AJ47/AJ35)</f>
        <v>0</v>
      </c>
      <c r="AM47" s="15">
        <f>IF(AL35=0,0,AL47/AL35)</f>
        <v>0</v>
      </c>
      <c r="AN47" s="2">
        <v>1</v>
      </c>
      <c r="AO47" s="15">
        <f>IF(AN35=0,0,AN47/AN35)</f>
        <v>0.16666666666666666</v>
      </c>
      <c r="AP47" s="2">
        <v>1</v>
      </c>
      <c r="AQ47" s="15">
        <f>IF(AP35=0,0,AP47/AP35)</f>
        <v>0.1</v>
      </c>
      <c r="AS47" s="15">
        <f>IF(AR35=0,0,AR47/AR35)</f>
        <v>0</v>
      </c>
      <c r="AU47" s="15">
        <f>IF(AT35=0,0,AT47/AT35)</f>
        <v>0</v>
      </c>
      <c r="AW47" s="15">
        <f>IF(AV35=0,0,AV47/AV35)</f>
        <v>0</v>
      </c>
      <c r="AY47" s="15">
        <f>IF(AX35=0,0,AX47/AX35)</f>
        <v>0</v>
      </c>
      <c r="BA47" s="15">
        <f>IF(AZ35=0,0,AZ47/AZ35)</f>
        <v>0</v>
      </c>
      <c r="BC47" s="15">
        <f>IF(BB35=0,0,BB47/BB35)</f>
        <v>0</v>
      </c>
      <c r="BD47" s="9" t="s">
        <v>62</v>
      </c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</row>
    <row r="48" spans="1:69" x14ac:dyDescent="0.25">
      <c r="A48" s="2" t="s">
        <v>11</v>
      </c>
      <c r="B48" s="2">
        <f t="shared" si="4"/>
        <v>3</v>
      </c>
      <c r="C48" s="15">
        <f t="shared" si="5"/>
        <v>1.2666666666666668</v>
      </c>
      <c r="E48" s="15">
        <f>IF(D35=0,0,D48/D35)</f>
        <v>0</v>
      </c>
      <c r="G48" s="15">
        <f>IF(F35=0,0,F48/F35)</f>
        <v>0</v>
      </c>
      <c r="I48" s="15">
        <f>IF(H35=0,0,H48/H35)</f>
        <v>0</v>
      </c>
      <c r="K48" s="15">
        <f>IF(J35=0,0,J48/J35)</f>
        <v>0</v>
      </c>
      <c r="M48" s="15">
        <f>IF(L35=0,0,L48/L35)</f>
        <v>0</v>
      </c>
      <c r="O48" s="15">
        <f>IF(N35=0,0,N48/N35)</f>
        <v>0</v>
      </c>
      <c r="Q48" s="15">
        <f>IF(P35=0,0,P48/P35)</f>
        <v>0</v>
      </c>
      <c r="S48" s="15">
        <f>IF(R35=0,0,R48/R35)</f>
        <v>0</v>
      </c>
      <c r="U48" s="15">
        <f>IF(T35=0,0,T48/T35)</f>
        <v>0</v>
      </c>
      <c r="W48" s="15">
        <f>IF(V35=0,0,V48/V35)</f>
        <v>0</v>
      </c>
      <c r="Y48" s="15">
        <f>IF(X35=0,0,X48/X35)</f>
        <v>0</v>
      </c>
      <c r="AA48" s="15">
        <f>IF(Z35=0,0,Z48/Z35)</f>
        <v>0</v>
      </c>
      <c r="AC48" s="15">
        <f>IF(AB35=0,0,AB48/AB35)</f>
        <v>0</v>
      </c>
      <c r="AE48" s="15">
        <f>IF(AD35=0,0,AD48/AD35)</f>
        <v>0</v>
      </c>
      <c r="AF48" s="2">
        <v>1</v>
      </c>
      <c r="AG48" s="15">
        <f>IF(AF35=0,0,AF48/AF35)</f>
        <v>0.1</v>
      </c>
      <c r="AH48" s="2">
        <v>1</v>
      </c>
      <c r="AI48" s="15">
        <f>IF(AH35=0,0,AH48/AH35)</f>
        <v>1</v>
      </c>
      <c r="AK48" s="15">
        <f>IF(AJ35=0,0,AJ48/AJ35)</f>
        <v>0</v>
      </c>
      <c r="AM48" s="15">
        <f>IF(AL35=0,0,AL48/AL35)</f>
        <v>0</v>
      </c>
      <c r="AN48" s="2">
        <v>1</v>
      </c>
      <c r="AO48" s="15">
        <f>IF(AN35=0,0,AN48/AN35)</f>
        <v>0.16666666666666666</v>
      </c>
      <c r="AQ48" s="15">
        <f>IF(AP35=0,0,AP48/AP35)</f>
        <v>0</v>
      </c>
      <c r="AS48" s="15">
        <f>IF(AR35=0,0,AR48/AR35)</f>
        <v>0</v>
      </c>
      <c r="AU48" s="15">
        <f>IF(AT35=0,0,AT48/AT35)</f>
        <v>0</v>
      </c>
      <c r="AW48" s="15">
        <f>IF(AV35=0,0,AV48/AV35)</f>
        <v>0</v>
      </c>
      <c r="AY48" s="15">
        <f>IF(AX35=0,0,AX48/AX35)</f>
        <v>0</v>
      </c>
      <c r="BA48" s="15">
        <f>IF(AZ35=0,0,AZ48/AZ35)</f>
        <v>0</v>
      </c>
      <c r="BC48" s="15">
        <f>IF(BB35=0,0,BB48/BB35)</f>
        <v>0</v>
      </c>
    </row>
    <row r="50" spans="1:69" ht="15.75" x14ac:dyDescent="0.3">
      <c r="D50" s="1" t="s">
        <v>14</v>
      </c>
      <c r="E50" s="1"/>
      <c r="F50" s="1" t="s">
        <v>15</v>
      </c>
      <c r="G50" s="1"/>
      <c r="H50" s="1" t="s">
        <v>16</v>
      </c>
      <c r="I50" s="1"/>
      <c r="J50" s="1" t="s">
        <v>17</v>
      </c>
      <c r="K50" s="1"/>
      <c r="L50" s="1" t="s">
        <v>18</v>
      </c>
      <c r="M50" s="1"/>
      <c r="N50" s="1" t="s">
        <v>19</v>
      </c>
      <c r="O50" s="1"/>
      <c r="P50" s="1" t="s">
        <v>20</v>
      </c>
      <c r="Q50" s="1"/>
      <c r="R50" s="1" t="s">
        <v>21</v>
      </c>
      <c r="S50" s="1"/>
      <c r="T50" s="1" t="s">
        <v>22</v>
      </c>
      <c r="U50" s="1"/>
      <c r="V50" s="1" t="s">
        <v>23</v>
      </c>
      <c r="W50" s="1"/>
      <c r="X50" s="1" t="s">
        <v>24</v>
      </c>
      <c r="Y50" s="1"/>
      <c r="Z50" s="1" t="s">
        <v>25</v>
      </c>
      <c r="AA50" s="1"/>
      <c r="AB50" s="1" t="s">
        <v>26</v>
      </c>
      <c r="AC50" s="1"/>
      <c r="AD50" s="1" t="s">
        <v>27</v>
      </c>
      <c r="AE50" s="1"/>
      <c r="AF50" s="1" t="s">
        <v>28</v>
      </c>
      <c r="AG50" s="1"/>
      <c r="AH50" s="1" t="s">
        <v>29</v>
      </c>
      <c r="AI50" s="1"/>
      <c r="AJ50" s="1" t="s">
        <v>30</v>
      </c>
      <c r="AK50" s="1"/>
      <c r="AL50" s="1" t="s">
        <v>31</v>
      </c>
      <c r="AM50" s="1"/>
      <c r="AN50" s="1" t="s">
        <v>32</v>
      </c>
      <c r="AO50" s="1"/>
      <c r="AP50" s="1" t="s">
        <v>33</v>
      </c>
      <c r="AQ50" s="1"/>
      <c r="AR50" s="1" t="s">
        <v>34</v>
      </c>
      <c r="AS50" s="1"/>
      <c r="AT50" s="1" t="s">
        <v>35</v>
      </c>
      <c r="AU50" s="1"/>
      <c r="AV50" s="1" t="s">
        <v>36</v>
      </c>
      <c r="AW50" s="1"/>
      <c r="AX50" s="1" t="s">
        <v>37</v>
      </c>
      <c r="AY50" s="1"/>
      <c r="AZ50" s="1" t="s">
        <v>38</v>
      </c>
      <c r="BA50" s="1"/>
      <c r="BB50" s="1" t="s">
        <v>39</v>
      </c>
      <c r="BC50" s="1"/>
    </row>
    <row r="51" spans="1:69" ht="15.75" x14ac:dyDescent="0.3">
      <c r="D51" s="17">
        <f>SUM(D52:D65)</f>
        <v>9</v>
      </c>
      <c r="E51" s="18"/>
      <c r="F51" s="17">
        <f>SUM(F52:F65)</f>
        <v>5</v>
      </c>
      <c r="G51" s="17"/>
      <c r="H51" s="17">
        <f>SUM(H52:H65)</f>
        <v>3</v>
      </c>
      <c r="I51" s="17"/>
      <c r="J51" s="17">
        <f>SUM(J52:J65)</f>
        <v>0</v>
      </c>
      <c r="K51" s="17"/>
      <c r="L51" s="17">
        <f>SUM(L52:L65)</f>
        <v>6</v>
      </c>
      <c r="M51" s="17"/>
      <c r="N51" s="17">
        <f>SUM(N52:N65)</f>
        <v>0</v>
      </c>
      <c r="O51" s="17"/>
      <c r="P51" s="17">
        <f>SUM(P52:P65)</f>
        <v>0</v>
      </c>
      <c r="Q51" s="17"/>
      <c r="R51" s="17">
        <f>SUM(R52:R65)</f>
        <v>2</v>
      </c>
      <c r="S51" s="17"/>
      <c r="T51" s="17">
        <f>SUM(T52:T65)</f>
        <v>6</v>
      </c>
      <c r="U51" s="17"/>
      <c r="V51" s="17">
        <f>SUM(V52:V65)</f>
        <v>0</v>
      </c>
      <c r="W51" s="17"/>
      <c r="X51" s="17">
        <f>SUM(X52:X65)</f>
        <v>0</v>
      </c>
      <c r="Y51" s="17"/>
      <c r="Z51" s="17">
        <f>SUM(Z52:Z65)</f>
        <v>2</v>
      </c>
      <c r="AA51" s="17"/>
      <c r="AB51" s="17">
        <f>SUM(AB52:AB65)</f>
        <v>2</v>
      </c>
      <c r="AC51" s="17"/>
      <c r="AD51" s="17">
        <f>SUM(AD52:AD65)</f>
        <v>2</v>
      </c>
      <c r="AE51" s="19"/>
      <c r="AF51" s="17">
        <f>SUM(AF52:AF65)</f>
        <v>10</v>
      </c>
      <c r="AG51" s="19"/>
      <c r="AH51" s="17">
        <f>SUM(AH52:AH65)</f>
        <v>1</v>
      </c>
      <c r="AI51" s="19"/>
      <c r="AJ51" s="17">
        <f>SUM(AJ52:AJ65)</f>
        <v>0</v>
      </c>
      <c r="AK51" s="19"/>
      <c r="AL51" s="17">
        <f>SUM(AL52:AL65)</f>
        <v>7</v>
      </c>
      <c r="AM51" s="19"/>
      <c r="AN51" s="17">
        <f>SUM(AN52:AN65)</f>
        <v>6</v>
      </c>
      <c r="AO51" s="19"/>
      <c r="AP51" s="17">
        <f>SUM(AP52:AP65)</f>
        <v>10</v>
      </c>
      <c r="AQ51" s="19"/>
      <c r="AR51" s="17">
        <f>SUM(AR52:AR65)</f>
        <v>3</v>
      </c>
      <c r="AS51" s="19"/>
      <c r="AT51" s="17">
        <f>SUM(AT52:AT65)</f>
        <v>0</v>
      </c>
      <c r="AU51" s="19"/>
      <c r="AV51" s="17">
        <f>SUM(AV52:AV65)</f>
        <v>0</v>
      </c>
      <c r="AW51" s="19"/>
      <c r="AX51" s="17">
        <f>SUM(AX52:AX65)</f>
        <v>0</v>
      </c>
      <c r="AY51" s="19"/>
      <c r="AZ51" s="17">
        <f>SUM(AZ52:AZ65)</f>
        <v>0</v>
      </c>
      <c r="BA51" s="19"/>
      <c r="BB51" s="17">
        <f>SUM(BB52:BB65)</f>
        <v>0</v>
      </c>
      <c r="BD51" s="9"/>
      <c r="BE51" s="9" t="s">
        <v>50</v>
      </c>
      <c r="BF51" s="9" t="s">
        <v>51</v>
      </c>
      <c r="BG51" s="9" t="s">
        <v>52</v>
      </c>
      <c r="BH51" s="9" t="s">
        <v>53</v>
      </c>
      <c r="BI51" s="9" t="s">
        <v>54</v>
      </c>
      <c r="BJ51" s="9" t="s">
        <v>55</v>
      </c>
      <c r="BK51" s="9" t="s">
        <v>56</v>
      </c>
      <c r="BL51" s="9" t="s">
        <v>57</v>
      </c>
      <c r="BM51" s="9" t="s">
        <v>58</v>
      </c>
      <c r="BN51" s="9" t="s">
        <v>59</v>
      </c>
      <c r="BO51" s="9" t="s">
        <v>60</v>
      </c>
      <c r="BP51" s="9" t="s">
        <v>61</v>
      </c>
      <c r="BQ51" s="9" t="s">
        <v>62</v>
      </c>
    </row>
    <row r="52" spans="1:69" ht="15.75" x14ac:dyDescent="0.3">
      <c r="A52" s="4" t="s">
        <v>0</v>
      </c>
      <c r="B52" s="2">
        <f t="shared" ref="B52:B64" si="6">LEN(A52)</f>
        <v>12</v>
      </c>
      <c r="C52" s="15"/>
      <c r="D52" s="2">
        <v>1</v>
      </c>
      <c r="E52" s="15">
        <f>IF(D51=0,0,D52/D51)</f>
        <v>0.1111111111111111</v>
      </c>
      <c r="G52" s="15">
        <f>IF(F51=0,0,F52/F51)</f>
        <v>0</v>
      </c>
      <c r="I52" s="15">
        <f>IF(H51=0,0,H52/H51)</f>
        <v>0</v>
      </c>
      <c r="K52" s="15">
        <f>IF(J51=0,0,J52/J51)</f>
        <v>0</v>
      </c>
      <c r="L52" s="2">
        <v>2</v>
      </c>
      <c r="M52" s="15">
        <f>IF(L51=0,0,L52/L51)</f>
        <v>0.33333333333333331</v>
      </c>
      <c r="O52" s="15">
        <f>IF(N51=0,0,N52/N51)</f>
        <v>0</v>
      </c>
      <c r="Q52" s="15">
        <f>IF(P51=0,0,P52/P51)</f>
        <v>0</v>
      </c>
      <c r="S52" s="15">
        <f>IF(R51=0,0,R52/R51)</f>
        <v>0</v>
      </c>
      <c r="T52" s="2">
        <v>1</v>
      </c>
      <c r="U52" s="15">
        <f>IF(T51=0,0,T52/T51)</f>
        <v>0.16666666666666666</v>
      </c>
      <c r="W52" s="15">
        <f>IF(V51=0,0,V52/V51)</f>
        <v>0</v>
      </c>
      <c r="Y52" s="15">
        <f>IF(X51=0,0,X52/X51)</f>
        <v>0</v>
      </c>
      <c r="AA52" s="15">
        <f>IF(Z51=0,0,Z52/Z51)</f>
        <v>0</v>
      </c>
      <c r="AC52" s="15">
        <f>IF(AB51=0,0,AB52/AB51)</f>
        <v>0</v>
      </c>
      <c r="AD52" s="2">
        <v>2</v>
      </c>
      <c r="AE52" s="15">
        <f>IF(AD51=0,0,AD52/AD51)</f>
        <v>1</v>
      </c>
      <c r="AG52" s="15">
        <f>IF(AF51=0,0,AF52/AF51)</f>
        <v>0</v>
      </c>
      <c r="AI52" s="15">
        <f>IF(AH51=0,0,AH52/AH51)</f>
        <v>0</v>
      </c>
      <c r="AK52" s="15">
        <f>IF(AJ51=0,0,AJ52/AJ51)</f>
        <v>0</v>
      </c>
      <c r="AL52" s="2">
        <v>1</v>
      </c>
      <c r="AM52" s="15">
        <f>IF(AL51=0,0,AL52/AL51)</f>
        <v>0.14285714285714285</v>
      </c>
      <c r="AN52" s="2">
        <v>2</v>
      </c>
      <c r="AO52" s="15">
        <f>IF(AN51=0,0,AN52/AN51)</f>
        <v>0.33333333333333331</v>
      </c>
      <c r="AP52" s="2">
        <v>2</v>
      </c>
      <c r="AQ52" s="15">
        <f>IF(AP51=0,0,AP52/AP51)</f>
        <v>0.2</v>
      </c>
      <c r="AS52" s="15">
        <f>IF(AR51=0,0,AR52/AR51)</f>
        <v>0</v>
      </c>
      <c r="AU52" s="15">
        <f>IF(AT51=0,0,AT52/AT51)</f>
        <v>0</v>
      </c>
      <c r="AW52" s="15">
        <f>IF(AV51=0,0,AV52/AV51)</f>
        <v>0</v>
      </c>
      <c r="AY52" s="15">
        <f>IF(AX51=0,0,AX52/AX51)</f>
        <v>0</v>
      </c>
      <c r="BA52" s="15">
        <f>IF(AZ51=0,0,AZ52/AZ51)</f>
        <v>0</v>
      </c>
      <c r="BC52" s="15">
        <f>IF(BB51=0,0,BB52/BB51)</f>
        <v>0</v>
      </c>
      <c r="BD52" s="9" t="s">
        <v>51</v>
      </c>
      <c r="BE52" s="9" t="s">
        <v>42</v>
      </c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</row>
    <row r="53" spans="1:69" x14ac:dyDescent="0.25">
      <c r="A53" s="2" t="s">
        <v>2</v>
      </c>
      <c r="B53" s="2">
        <f t="shared" si="6"/>
        <v>9</v>
      </c>
      <c r="C53" s="15">
        <f>E53+G53+I53+K53+M53+O53+Q53+S53+U53+W53+Y53+AA53+AC53+AE53+AG53+AI53+AK53+AM53+AO53+AQ53+AS53+AU53+AW53+AY53+BA53+BC53</f>
        <v>1.1444444444444444</v>
      </c>
      <c r="D53" s="2">
        <v>1</v>
      </c>
      <c r="E53" s="15">
        <f>IF(D51=0,0,D53/D51)</f>
        <v>0.1111111111111111</v>
      </c>
      <c r="G53" s="15">
        <f>IF(F51=0,0,F53/F51)</f>
        <v>0</v>
      </c>
      <c r="H53" s="2">
        <v>2</v>
      </c>
      <c r="I53" s="15">
        <f>IF(H51=0,0,H53/H51)</f>
        <v>0.66666666666666663</v>
      </c>
      <c r="J53" s="2">
        <v>0</v>
      </c>
      <c r="K53" s="15">
        <f>IF(J51=0,0,J53/J51)</f>
        <v>0</v>
      </c>
      <c r="L53" s="2">
        <v>1</v>
      </c>
      <c r="M53" s="15">
        <f>IF(L51=0,0,L53/L51)</f>
        <v>0.16666666666666666</v>
      </c>
      <c r="O53" s="15">
        <f>IF(N51=0,0,N53/N51)</f>
        <v>0</v>
      </c>
      <c r="Q53" s="15">
        <f>IF(P51=0,0,P53/P51)</f>
        <v>0</v>
      </c>
      <c r="S53" s="15">
        <f>IF(R51=0,0,R53/R51)</f>
        <v>0</v>
      </c>
      <c r="T53" s="2">
        <v>0</v>
      </c>
      <c r="U53" s="15">
        <f>IF(T51=0,0,T53/T51)</f>
        <v>0</v>
      </c>
      <c r="W53" s="15">
        <f>IF(V51=0,0,V53/V51)</f>
        <v>0</v>
      </c>
      <c r="Y53" s="15">
        <f>IF(X51=0,0,X53/X51)</f>
        <v>0</v>
      </c>
      <c r="AA53" s="15">
        <f>IF(Z51=0,0,Z53/Z51)</f>
        <v>0</v>
      </c>
      <c r="AC53" s="15">
        <f>IF(AB51=0,0,AB53/AB51)</f>
        <v>0</v>
      </c>
      <c r="AE53" s="15">
        <f>IF(AD51=0,0,AD53/AD51)</f>
        <v>0</v>
      </c>
      <c r="AF53" s="2">
        <v>1</v>
      </c>
      <c r="AG53" s="15">
        <f>IF(AF51=0,0,AF53/AF51)</f>
        <v>0.1</v>
      </c>
      <c r="AI53" s="15">
        <f>IF(AH51=0,0,AH53/AH51)</f>
        <v>0</v>
      </c>
      <c r="AK53" s="15">
        <f>IF(AJ51=0,0,AJ53/AJ51)</f>
        <v>0</v>
      </c>
      <c r="AM53" s="15">
        <f>IF(AL51=0,0,AL53/AL51)</f>
        <v>0</v>
      </c>
      <c r="AN53" s="2">
        <v>0</v>
      </c>
      <c r="AO53" s="15">
        <f>IF(AN51=0,0,AN53/AN51)</f>
        <v>0</v>
      </c>
      <c r="AP53" s="2">
        <v>1</v>
      </c>
      <c r="AQ53" s="15">
        <f>IF(AP51=0,0,AP53/AP51)</f>
        <v>0.1</v>
      </c>
      <c r="AS53" s="15">
        <f>IF(AR51=0,0,AR53/AR51)</f>
        <v>0</v>
      </c>
      <c r="AU53" s="15">
        <f>IF(AT51=0,0,AT53/AT51)</f>
        <v>0</v>
      </c>
      <c r="AW53" s="15">
        <f>IF(AV51=0,0,AV53/AV51)</f>
        <v>0</v>
      </c>
      <c r="AY53" s="15">
        <f>IF(AX51=0,0,AX53/AX51)</f>
        <v>0</v>
      </c>
      <c r="BA53" s="15">
        <f>IF(AZ51=0,0,AZ53/AZ51)</f>
        <v>0</v>
      </c>
      <c r="BC53" s="15">
        <f>IF(BB51=0,0,BB53/BB51)</f>
        <v>0</v>
      </c>
      <c r="BD53" s="9" t="s">
        <v>52</v>
      </c>
      <c r="BE53" s="9" t="s">
        <v>43</v>
      </c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</row>
    <row r="54" spans="1:69" ht="15.75" x14ac:dyDescent="0.3">
      <c r="A54" s="4" t="s">
        <v>1</v>
      </c>
      <c r="B54" s="2">
        <f t="shared" si="6"/>
        <v>9</v>
      </c>
      <c r="C54" s="15"/>
      <c r="E54" s="15">
        <f>IF(D51=0,0,D54/D51)</f>
        <v>0</v>
      </c>
      <c r="F54" s="2">
        <v>1</v>
      </c>
      <c r="G54" s="15">
        <f>IF(F51=0,0,F54/F51)</f>
        <v>0.2</v>
      </c>
      <c r="I54" s="15">
        <f>IF(H51=0,0,H54/H51)</f>
        <v>0</v>
      </c>
      <c r="J54" s="2">
        <v>0</v>
      </c>
      <c r="K54" s="15">
        <f>IF(J51=0,0,J54/J51)</f>
        <v>0</v>
      </c>
      <c r="L54" s="2">
        <v>0</v>
      </c>
      <c r="M54" s="15">
        <f>IF(L51=0,0,L54/L51)</f>
        <v>0</v>
      </c>
      <c r="O54" s="15">
        <f>IF(N51=0,0,N54/N51)</f>
        <v>0</v>
      </c>
      <c r="Q54" s="15">
        <f>IF(P51=0,0,P54/P51)</f>
        <v>0</v>
      </c>
      <c r="S54" s="15">
        <f>IF(R51=0,0,R54/R51)</f>
        <v>0</v>
      </c>
      <c r="T54" s="2">
        <v>1</v>
      </c>
      <c r="U54" s="15">
        <f>IF(T51=0,0,T54/T51)</f>
        <v>0.16666666666666666</v>
      </c>
      <c r="W54" s="15">
        <f>IF(V51=0,0,V54/V51)</f>
        <v>0</v>
      </c>
      <c r="Y54" s="15">
        <f>IF(X51=0,0,X54/X51)</f>
        <v>0</v>
      </c>
      <c r="AA54" s="15">
        <f>IF(Z51=0,0,Z54/Z51)</f>
        <v>0</v>
      </c>
      <c r="AC54" s="15">
        <f>IF(AB51=0,0,AB54/AB51)</f>
        <v>0</v>
      </c>
      <c r="AE54" s="15">
        <f>IF(AD51=0,0,AD54/AD51)</f>
        <v>0</v>
      </c>
      <c r="AF54" s="2">
        <v>2</v>
      </c>
      <c r="AG54" s="15">
        <f>IF(AF51=0,0,AF54/AF51)</f>
        <v>0.2</v>
      </c>
      <c r="AI54" s="15">
        <f>IF(AH51=0,0,AH54/AH51)</f>
        <v>0</v>
      </c>
      <c r="AK54" s="15">
        <f>IF(AJ51=0,0,AJ54/AJ51)</f>
        <v>0</v>
      </c>
      <c r="AL54" s="2">
        <v>1</v>
      </c>
      <c r="AM54" s="15">
        <f>IF(AL51=0,0,AL54/AL51)</f>
        <v>0.14285714285714285</v>
      </c>
      <c r="AN54" s="2">
        <v>1</v>
      </c>
      <c r="AO54" s="15">
        <f>IF(AN51=0,0,AN54/AN51)</f>
        <v>0.16666666666666666</v>
      </c>
      <c r="AP54" s="2">
        <v>1</v>
      </c>
      <c r="AQ54" s="15">
        <f>IF(AP51=0,0,AP54/AP51)</f>
        <v>0.1</v>
      </c>
      <c r="AS54" s="15">
        <f>IF(AR51=0,0,AR54/AR51)</f>
        <v>0</v>
      </c>
      <c r="AU54" s="15">
        <f>IF(AT51=0,0,AT54/AT51)</f>
        <v>0</v>
      </c>
      <c r="AW54" s="15">
        <f>IF(AV51=0,0,AV54/AV51)</f>
        <v>0</v>
      </c>
      <c r="AY54" s="15">
        <f>IF(AX51=0,0,AX54/AX51)</f>
        <v>0</v>
      </c>
      <c r="BA54" s="15">
        <f>IF(AZ51=0,0,AZ54/AZ51)</f>
        <v>0</v>
      </c>
      <c r="BC54" s="15">
        <f>IF(BB51=0,0,BB54/BB51)</f>
        <v>0</v>
      </c>
      <c r="BD54" s="9" t="s">
        <v>53</v>
      </c>
      <c r="BE54" s="9" t="s">
        <v>44</v>
      </c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</row>
    <row r="55" spans="1:69" x14ac:dyDescent="0.25">
      <c r="A55" s="2" t="s">
        <v>3</v>
      </c>
      <c r="B55" s="2">
        <f t="shared" si="6"/>
        <v>7</v>
      </c>
      <c r="C55" s="15">
        <f t="shared" ref="C55:C64" si="7">E55+G55+I55+K55+M55+O55+Q55+S55+U55+W55+Y55+AA55+AC55+AE55+AG55+AI55+AK55+AM55+AO55+AQ55+AS55+AU55+AW55+AY55+BA55+BC55</f>
        <v>1.0984126984126985</v>
      </c>
      <c r="D55" s="2">
        <v>2</v>
      </c>
      <c r="E55" s="15">
        <f>IF(D51=0,0,D55/D51)</f>
        <v>0.22222222222222221</v>
      </c>
      <c r="F55" s="2">
        <v>1</v>
      </c>
      <c r="G55" s="15">
        <f>IF(F51=0,0,F55/F51)</f>
        <v>0.2</v>
      </c>
      <c r="I55" s="15">
        <f>IF(H51=0,0,H55/H51)</f>
        <v>0</v>
      </c>
      <c r="K55" s="15">
        <f>IF(J51=0,0,J55/J51)</f>
        <v>0</v>
      </c>
      <c r="M55" s="15">
        <f>IF(L51=0,0,L55/L51)</f>
        <v>0</v>
      </c>
      <c r="O55" s="15">
        <f>IF(N51=0,0,N55/N51)</f>
        <v>0</v>
      </c>
      <c r="Q55" s="15">
        <f>IF(P51=0,0,P55/P51)</f>
        <v>0</v>
      </c>
      <c r="S55" s="15">
        <f>IF(R51=0,0,R55/R51)</f>
        <v>0</v>
      </c>
      <c r="U55" s="15">
        <f>IF(T51=0,0,T55/T51)</f>
        <v>0</v>
      </c>
      <c r="W55" s="15">
        <f>IF(V51=0,0,V55/V51)</f>
        <v>0</v>
      </c>
      <c r="Y55" s="15">
        <f>IF(X51=0,0,X55/X51)</f>
        <v>0</v>
      </c>
      <c r="AA55" s="15">
        <f>IF(Z51=0,0,Z55/Z51)</f>
        <v>0</v>
      </c>
      <c r="AC55" s="15">
        <f>IF(AB51=0,0,AB55/AB51)</f>
        <v>0</v>
      </c>
      <c r="AE55" s="15">
        <f>IF(AD51=0,0,AD55/AD51)</f>
        <v>0</v>
      </c>
      <c r="AF55" s="2">
        <v>1</v>
      </c>
      <c r="AG55" s="15">
        <f>IF(AF51=0,0,AF55/AF51)</f>
        <v>0.1</v>
      </c>
      <c r="AI55" s="15">
        <f>IF(AH51=0,0,AH55/AH51)</f>
        <v>0</v>
      </c>
      <c r="AK55" s="15">
        <f>IF(AJ51=0,0,AJ55/AJ51)</f>
        <v>0</v>
      </c>
      <c r="AL55" s="2">
        <v>1</v>
      </c>
      <c r="AM55" s="15">
        <f>IF(AL51=0,0,AL55/AL51)</f>
        <v>0.14285714285714285</v>
      </c>
      <c r="AO55" s="15">
        <f>IF(AN51=0,0,AN55/AN51)</f>
        <v>0</v>
      </c>
      <c r="AP55" s="2">
        <v>1</v>
      </c>
      <c r="AQ55" s="15">
        <f>IF(AP51=0,0,AP55/AP51)</f>
        <v>0.1</v>
      </c>
      <c r="AR55" s="2">
        <v>1</v>
      </c>
      <c r="AS55" s="15">
        <f>IF(AR51=0,0,AR55/AR51)</f>
        <v>0.33333333333333331</v>
      </c>
      <c r="AU55" s="15">
        <f>IF(AT51=0,0,AT55/AT51)</f>
        <v>0</v>
      </c>
      <c r="AW55" s="15">
        <f>IF(AV51=0,0,AV55/AV51)</f>
        <v>0</v>
      </c>
      <c r="AY55" s="15">
        <f>IF(AX51=0,0,AX55/AX51)</f>
        <v>0</v>
      </c>
      <c r="BA55" s="15">
        <f>IF(AZ51=0,0,AZ55/AZ51)</f>
        <v>0</v>
      </c>
      <c r="BC55" s="15">
        <f>IF(BB51=0,0,BB55/BB51)</f>
        <v>0</v>
      </c>
      <c r="BD55" s="9" t="s">
        <v>54</v>
      </c>
      <c r="BE55" s="9" t="s">
        <v>45</v>
      </c>
      <c r="BF55" s="9" t="s">
        <v>47</v>
      </c>
      <c r="BG55" s="9" t="s">
        <v>44</v>
      </c>
      <c r="BH55" s="9" t="s">
        <v>42</v>
      </c>
      <c r="BI55" s="9" t="s">
        <v>49</v>
      </c>
      <c r="BJ55" s="9" t="s">
        <v>63</v>
      </c>
      <c r="BK55" s="9" t="s">
        <v>46</v>
      </c>
      <c r="BL55" s="9" t="s">
        <v>64</v>
      </c>
      <c r="BM55" s="9" t="s">
        <v>63</v>
      </c>
      <c r="BN55" s="9"/>
      <c r="BO55" s="9"/>
      <c r="BP55" s="9"/>
      <c r="BQ55" s="9"/>
    </row>
    <row r="56" spans="1:69" x14ac:dyDescent="0.25">
      <c r="A56" s="2" t="s">
        <v>5</v>
      </c>
      <c r="B56" s="2">
        <f t="shared" si="6"/>
        <v>7</v>
      </c>
      <c r="C56" s="15">
        <f t="shared" si="7"/>
        <v>1.288888888888889</v>
      </c>
      <c r="D56" s="2">
        <v>2</v>
      </c>
      <c r="E56" s="15">
        <f>IF(D51=0,0,D56/D51)</f>
        <v>0.22222222222222221</v>
      </c>
      <c r="F56" s="2">
        <v>1</v>
      </c>
      <c r="G56" s="15">
        <f>IF(F51=0,0,F56/F51)</f>
        <v>0.2</v>
      </c>
      <c r="I56" s="15">
        <f>IF(H51=0,0,H56/H51)</f>
        <v>0</v>
      </c>
      <c r="K56" s="15">
        <f>IF(J51=0,0,J56/J51)</f>
        <v>0</v>
      </c>
      <c r="M56" s="15">
        <f>IF(L51=0,0,L56/L51)</f>
        <v>0</v>
      </c>
      <c r="O56" s="15">
        <f>IF(N51=0,0,N56/N51)</f>
        <v>0</v>
      </c>
      <c r="Q56" s="15">
        <f>IF(P51=0,0,P56/P51)</f>
        <v>0</v>
      </c>
      <c r="R56" s="2">
        <v>1</v>
      </c>
      <c r="S56" s="15">
        <f>IF(R51=0,0,R56/R51)</f>
        <v>0.5</v>
      </c>
      <c r="T56" s="2">
        <v>1</v>
      </c>
      <c r="U56" s="15">
        <f>IF(T51=0,0,T56/T51)</f>
        <v>0.16666666666666666</v>
      </c>
      <c r="W56" s="15">
        <f>IF(V51=0,0,V56/V51)</f>
        <v>0</v>
      </c>
      <c r="Y56" s="15">
        <f>IF(X51=0,0,X56/X51)</f>
        <v>0</v>
      </c>
      <c r="AA56" s="15">
        <f>IF(Z51=0,0,Z56/Z51)</f>
        <v>0</v>
      </c>
      <c r="AC56" s="15">
        <f>IF(AB51=0,0,AB56/AB51)</f>
        <v>0</v>
      </c>
      <c r="AE56" s="15">
        <f>IF(AD51=0,0,AD56/AD51)</f>
        <v>0</v>
      </c>
      <c r="AG56" s="15">
        <f>IF(AF51=0,0,AF56/AF51)</f>
        <v>0</v>
      </c>
      <c r="AI56" s="15">
        <f>IF(AH51=0,0,AH56/AH51)</f>
        <v>0</v>
      </c>
      <c r="AK56" s="15">
        <f>IF(AJ51=0,0,AJ56/AJ51)</f>
        <v>0</v>
      </c>
      <c r="AM56" s="15">
        <f>IF(AL51=0,0,AL56/AL51)</f>
        <v>0</v>
      </c>
      <c r="AO56" s="15">
        <f>IF(AN51=0,0,AN56/AN51)</f>
        <v>0</v>
      </c>
      <c r="AP56" s="2">
        <v>2</v>
      </c>
      <c r="AQ56" s="15">
        <f>IF(AP51=0,0,AP56/AP51)</f>
        <v>0.2</v>
      </c>
      <c r="AS56" s="15">
        <f>IF(AR51=0,0,AR56/AR51)</f>
        <v>0</v>
      </c>
      <c r="AU56" s="15">
        <f>IF(AT51=0,0,AT56/AT51)</f>
        <v>0</v>
      </c>
      <c r="AW56" s="15">
        <f>IF(AV51=0,0,AV56/AV51)</f>
        <v>0</v>
      </c>
      <c r="AY56" s="15">
        <f>IF(AX51=0,0,AX56/AX51)</f>
        <v>0</v>
      </c>
      <c r="BA56" s="15">
        <f>IF(AZ51=0,0,AZ56/AZ51)</f>
        <v>0</v>
      </c>
      <c r="BC56" s="15">
        <f>IF(BB51=0,0,BB56/BB51)</f>
        <v>0</v>
      </c>
      <c r="BD56" s="9" t="s">
        <v>55</v>
      </c>
      <c r="BE56" s="9" t="s">
        <v>46</v>
      </c>
      <c r="BF56" s="9"/>
      <c r="BG56" s="9"/>
      <c r="BH56" s="9"/>
      <c r="BI56" s="9"/>
      <c r="BJ56" s="9"/>
      <c r="BK56" s="9"/>
      <c r="BL56" s="9" t="s">
        <v>42</v>
      </c>
      <c r="BM56" s="9"/>
      <c r="BN56" s="9"/>
      <c r="BO56" s="9"/>
      <c r="BP56" s="9"/>
      <c r="BQ56" s="9"/>
    </row>
    <row r="57" spans="1:69" x14ac:dyDescent="0.25">
      <c r="A57" s="2" t="s">
        <v>4</v>
      </c>
      <c r="B57" s="2">
        <f t="shared" si="6"/>
        <v>7</v>
      </c>
      <c r="C57" s="15">
        <f t="shared" si="7"/>
        <v>1.2634920634920634</v>
      </c>
      <c r="D57" s="2">
        <v>1</v>
      </c>
      <c r="E57" s="15">
        <f>IF(D51=0,0,D57/D51)</f>
        <v>0.1111111111111111</v>
      </c>
      <c r="G57" s="15">
        <f>IF(F51=0,0,F57/F51)</f>
        <v>0</v>
      </c>
      <c r="I57" s="15">
        <f>IF(H51=0,0,H57/H51)</f>
        <v>0</v>
      </c>
      <c r="K57" s="15">
        <f>IF(J51=0,0,J57/J51)</f>
        <v>0</v>
      </c>
      <c r="M57" s="15">
        <f>IF(L51=0,0,L57/L51)</f>
        <v>0</v>
      </c>
      <c r="O57" s="15">
        <f>IF(N51=0,0,N57/N51)</f>
        <v>0</v>
      </c>
      <c r="Q57" s="15">
        <f>IF(P51=0,0,P57/P51)</f>
        <v>0</v>
      </c>
      <c r="R57" s="2">
        <v>1</v>
      </c>
      <c r="S57" s="15">
        <f>IF(R51=0,0,R57/R51)</f>
        <v>0.5</v>
      </c>
      <c r="T57" s="2">
        <v>1</v>
      </c>
      <c r="U57" s="15">
        <f>IF(T51=0,0,T57/T51)</f>
        <v>0.16666666666666666</v>
      </c>
      <c r="W57" s="15">
        <f>IF(V51=0,0,V57/V51)</f>
        <v>0</v>
      </c>
      <c r="Y57" s="15">
        <f>IF(X51=0,0,X57/X51)</f>
        <v>0</v>
      </c>
      <c r="AA57" s="15">
        <f>IF(Z51=0,0,Z57/Z51)</f>
        <v>0</v>
      </c>
      <c r="AC57" s="15">
        <f>IF(AB51=0,0,AB57/AB51)</f>
        <v>0</v>
      </c>
      <c r="AE57" s="15">
        <f>IF(AD51=0,0,AD57/AD51)</f>
        <v>0</v>
      </c>
      <c r="AF57" s="2">
        <v>2</v>
      </c>
      <c r="AG57" s="15">
        <f>IF(AF51=0,0,AF57/AF51)</f>
        <v>0.2</v>
      </c>
      <c r="AI57" s="15">
        <f>IF(AH51=0,0,AH57/AH51)</f>
        <v>0</v>
      </c>
      <c r="AK57" s="15">
        <f>IF(AJ51=0,0,AJ57/AJ51)</f>
        <v>0</v>
      </c>
      <c r="AL57" s="2">
        <v>2</v>
      </c>
      <c r="AM57" s="15">
        <f>IF(AL51=0,0,AL57/AL51)</f>
        <v>0.2857142857142857</v>
      </c>
      <c r="AO57" s="15">
        <f>IF(AN51=0,0,AN57/AN51)</f>
        <v>0</v>
      </c>
      <c r="AQ57" s="15">
        <f>IF(AP51=0,0,AP57/AP51)</f>
        <v>0</v>
      </c>
      <c r="AS57" s="15">
        <f>IF(AR51=0,0,AR57/AR51)</f>
        <v>0</v>
      </c>
      <c r="AU57" s="15">
        <f>IF(AT51=0,0,AT57/AT51)</f>
        <v>0</v>
      </c>
      <c r="AW57" s="15">
        <f>IF(AV51=0,0,AV57/AV51)</f>
        <v>0</v>
      </c>
      <c r="AY57" s="15">
        <f>IF(AX51=0,0,AX57/AX51)</f>
        <v>0</v>
      </c>
      <c r="BA57" s="15">
        <f>IF(AZ51=0,0,AZ57/AZ51)</f>
        <v>0</v>
      </c>
      <c r="BC57" s="15">
        <f>IF(BB51=0,0,BB57/BB51)</f>
        <v>0</v>
      </c>
      <c r="BD57" s="9" t="s">
        <v>56</v>
      </c>
      <c r="BE57" s="9" t="s">
        <v>45</v>
      </c>
      <c r="BF57" s="9"/>
      <c r="BG57" s="9"/>
      <c r="BH57" s="9"/>
      <c r="BI57" s="9"/>
      <c r="BJ57" s="9"/>
      <c r="BK57" s="9"/>
      <c r="BL57" s="9" t="s">
        <v>47</v>
      </c>
      <c r="BM57" s="9"/>
      <c r="BN57" s="9"/>
      <c r="BO57" s="9"/>
      <c r="BP57" s="9"/>
      <c r="BQ57" s="9"/>
    </row>
    <row r="58" spans="1:69" x14ac:dyDescent="0.25">
      <c r="A58" s="2" t="s">
        <v>7</v>
      </c>
      <c r="B58" s="2">
        <f t="shared" si="6"/>
        <v>7</v>
      </c>
      <c r="C58" s="15">
        <f t="shared" si="7"/>
        <v>2.0333333333333332</v>
      </c>
      <c r="E58" s="15">
        <f>IF(D51=0,0,D58/D51)</f>
        <v>0</v>
      </c>
      <c r="G58" s="15">
        <f>IF(F51=0,0,F58/F51)</f>
        <v>0</v>
      </c>
      <c r="H58" s="2">
        <v>1</v>
      </c>
      <c r="I58" s="15">
        <f>IF(H51=0,0,H58/H51)</f>
        <v>0.33333333333333331</v>
      </c>
      <c r="K58" s="15">
        <f>IF(J51=0,0,J58/J51)</f>
        <v>0</v>
      </c>
      <c r="M58" s="15">
        <f>IF(L51=0,0,L58/L51)</f>
        <v>0</v>
      </c>
      <c r="O58" s="15">
        <f>IF(N51=0,0,N58/N51)</f>
        <v>0</v>
      </c>
      <c r="Q58" s="15">
        <f>IF(P51=0,0,P58/P51)</f>
        <v>0</v>
      </c>
      <c r="S58" s="15">
        <f>IF(R51=0,0,R58/R51)</f>
        <v>0</v>
      </c>
      <c r="U58" s="15">
        <f>IF(T51=0,0,T58/T51)</f>
        <v>0</v>
      </c>
      <c r="W58" s="15">
        <f>IF(V51=0,0,V58/V51)</f>
        <v>0</v>
      </c>
      <c r="Y58" s="15">
        <f>IF(X51=0,0,X58/X51)</f>
        <v>0</v>
      </c>
      <c r="Z58" s="2">
        <v>1</v>
      </c>
      <c r="AA58" s="15">
        <f>IF(Z51=0,0,Z58/Z51)</f>
        <v>0.5</v>
      </c>
      <c r="AB58" s="2">
        <v>1</v>
      </c>
      <c r="AC58" s="15">
        <f>IF(AB51=0,0,AB58/AB51)</f>
        <v>0.5</v>
      </c>
      <c r="AE58" s="15">
        <f>IF(AD51=0,0,AD58/AD51)</f>
        <v>0</v>
      </c>
      <c r="AF58" s="2">
        <v>2</v>
      </c>
      <c r="AG58" s="15">
        <f>IF(AF51=0,0,AF58/AF51)</f>
        <v>0.2</v>
      </c>
      <c r="AI58" s="15">
        <f>IF(AH51=0,0,AH58/AH51)</f>
        <v>0</v>
      </c>
      <c r="AK58" s="15">
        <f>IF(AJ51=0,0,AJ58/AJ51)</f>
        <v>0</v>
      </c>
      <c r="AM58" s="15">
        <f>IF(AL51=0,0,AL58/AL51)</f>
        <v>0</v>
      </c>
      <c r="AN58" s="2">
        <v>1</v>
      </c>
      <c r="AO58" s="15">
        <f>IF(AN51=0,0,AN58/AN51)</f>
        <v>0.16666666666666666</v>
      </c>
      <c r="AQ58" s="15">
        <f>IF(AP51=0,0,AP58/AP51)</f>
        <v>0</v>
      </c>
      <c r="AR58" s="2">
        <v>1</v>
      </c>
      <c r="AS58" s="15">
        <f>IF(AR51=0,0,AR58/AR51)</f>
        <v>0.33333333333333331</v>
      </c>
      <c r="AU58" s="15">
        <f>IF(AT51=0,0,AT58/AT51)</f>
        <v>0</v>
      </c>
      <c r="AW58" s="15">
        <f>IF(AV51=0,0,AV58/AV51)</f>
        <v>0</v>
      </c>
      <c r="AY58" s="15">
        <f>IF(AX51=0,0,AX58/AX51)</f>
        <v>0</v>
      </c>
      <c r="BA58" s="15">
        <f>IF(AZ51=0,0,AZ58/AZ51)</f>
        <v>0</v>
      </c>
      <c r="BC58" s="15">
        <f>IF(BB51=0,0,BB58/BB51)</f>
        <v>0</v>
      </c>
      <c r="BD58" s="9" t="s">
        <v>57</v>
      </c>
      <c r="BE58" s="9" t="s">
        <v>47</v>
      </c>
      <c r="BF58" s="9"/>
      <c r="BG58" s="9"/>
      <c r="BH58" s="9"/>
      <c r="BI58" s="9"/>
      <c r="BJ58" s="9"/>
      <c r="BK58" s="9"/>
      <c r="BL58" s="9" t="s">
        <v>65</v>
      </c>
      <c r="BM58" s="9"/>
      <c r="BN58" s="9"/>
      <c r="BO58" s="9"/>
      <c r="BP58" s="9"/>
      <c r="BQ58" s="9"/>
    </row>
    <row r="59" spans="1:69" x14ac:dyDescent="0.25">
      <c r="A59" s="2" t="s">
        <v>6</v>
      </c>
      <c r="B59" s="2">
        <f t="shared" si="6"/>
        <v>5</v>
      </c>
      <c r="C59" s="15">
        <f t="shared" si="7"/>
        <v>0.7761904761904761</v>
      </c>
      <c r="E59" s="15">
        <f>IF(D51=0,0,D59/D51)</f>
        <v>0</v>
      </c>
      <c r="G59" s="15">
        <f>IF(F51=0,0,F59/F51)</f>
        <v>0</v>
      </c>
      <c r="I59" s="15">
        <f>IF(H51=0,0,H59/H51)</f>
        <v>0</v>
      </c>
      <c r="K59" s="15">
        <f>IF(J51=0,0,J59/J51)</f>
        <v>0</v>
      </c>
      <c r="M59" s="15">
        <f>IF(L51=0,0,L59/L51)</f>
        <v>0</v>
      </c>
      <c r="O59" s="15">
        <f>IF(N51=0,0,N59/N51)</f>
        <v>0</v>
      </c>
      <c r="Q59" s="15">
        <f>IF(P51=0,0,P59/P51)</f>
        <v>0</v>
      </c>
      <c r="S59" s="15">
        <f>IF(R51=0,0,R59/R51)</f>
        <v>0</v>
      </c>
      <c r="U59" s="15">
        <f>IF(T51=0,0,T59/T51)</f>
        <v>0</v>
      </c>
      <c r="W59" s="15">
        <f>IF(V51=0,0,V59/V51)</f>
        <v>0</v>
      </c>
      <c r="Y59" s="15">
        <f>IF(X51=0,0,X59/X51)</f>
        <v>0</v>
      </c>
      <c r="AA59" s="15">
        <f>IF(Z51=0,0,Z59/Z51)</f>
        <v>0</v>
      </c>
      <c r="AC59" s="15">
        <f>IF(AB51=0,0,AB59/AB51)</f>
        <v>0</v>
      </c>
      <c r="AE59" s="15">
        <f>IF(AD51=0,0,AD59/AD51)</f>
        <v>0</v>
      </c>
      <c r="AF59" s="2">
        <v>1</v>
      </c>
      <c r="AG59" s="15">
        <f>IF(AF51=0,0,AF59/AF51)</f>
        <v>0.1</v>
      </c>
      <c r="AI59" s="15">
        <f>IF(AH51=0,0,AH59/AH51)</f>
        <v>0</v>
      </c>
      <c r="AK59" s="15">
        <f>IF(AJ51=0,0,AJ59/AJ51)</f>
        <v>0</v>
      </c>
      <c r="AL59" s="2">
        <v>1</v>
      </c>
      <c r="AM59" s="15">
        <f>IF(AL51=0,0,AL59/AL51)</f>
        <v>0.14285714285714285</v>
      </c>
      <c r="AO59" s="15">
        <f>IF(AN51=0,0,AN59/AN51)</f>
        <v>0</v>
      </c>
      <c r="AP59" s="2">
        <v>2</v>
      </c>
      <c r="AQ59" s="15">
        <f>IF(AP51=0,0,AP59/AP51)</f>
        <v>0.2</v>
      </c>
      <c r="AR59" s="2">
        <v>1</v>
      </c>
      <c r="AS59" s="15">
        <f>IF(AR51=0,0,AR59/AR51)</f>
        <v>0.33333333333333331</v>
      </c>
      <c r="AU59" s="15">
        <f>IF(AT51=0,0,AT59/AT51)</f>
        <v>0</v>
      </c>
      <c r="AW59" s="15">
        <f>IF(AV51=0,0,AV59/AV51)</f>
        <v>0</v>
      </c>
      <c r="AY59" s="15">
        <f>IF(AX51=0,0,AX59/AX51)</f>
        <v>0</v>
      </c>
      <c r="BA59" s="15">
        <f>IF(AZ51=0,0,AZ59/AZ51)</f>
        <v>0</v>
      </c>
      <c r="BC59" s="15">
        <f>IF(BB51=0,0,BB59/BB51)</f>
        <v>0</v>
      </c>
      <c r="BD59" s="9" t="s">
        <v>58</v>
      </c>
      <c r="BE59" s="9" t="s">
        <v>47</v>
      </c>
      <c r="BF59" s="9"/>
      <c r="BG59" s="9"/>
      <c r="BH59" s="9"/>
      <c r="BI59" s="9"/>
      <c r="BJ59" s="9"/>
      <c r="BK59" s="9"/>
      <c r="BL59" s="9" t="s">
        <v>63</v>
      </c>
      <c r="BM59" s="9"/>
      <c r="BN59" s="9"/>
      <c r="BO59" s="9"/>
      <c r="BP59" s="9"/>
      <c r="BQ59" s="9"/>
    </row>
    <row r="60" spans="1:69" x14ac:dyDescent="0.25">
      <c r="A60" s="2" t="s">
        <v>8</v>
      </c>
      <c r="B60" s="2">
        <f t="shared" si="6"/>
        <v>5</v>
      </c>
      <c r="C60" s="15">
        <f t="shared" si="7"/>
        <v>1.176190476190476</v>
      </c>
      <c r="E60" s="15">
        <f>IF(D51=0,0,D60/D51)</f>
        <v>0</v>
      </c>
      <c r="F60" s="2">
        <v>1</v>
      </c>
      <c r="G60" s="15">
        <f>IF(F51=0,0,F60/F51)</f>
        <v>0.2</v>
      </c>
      <c r="I60" s="15">
        <f>IF(H51=0,0,H60/H51)</f>
        <v>0</v>
      </c>
      <c r="K60" s="15">
        <f>IF(J51=0,0,J60/J51)</f>
        <v>0</v>
      </c>
      <c r="L60" s="2">
        <v>2</v>
      </c>
      <c r="M60" s="15">
        <f>IF(L51=0,0,L60/L51)</f>
        <v>0.33333333333333331</v>
      </c>
      <c r="O60" s="15">
        <f>IF(N51=0,0,N60/N51)</f>
        <v>0</v>
      </c>
      <c r="Q60" s="15">
        <f>IF(P51=0,0,P60/P51)</f>
        <v>0</v>
      </c>
      <c r="S60" s="15">
        <f>IF(R51=0,0,R60/R51)</f>
        <v>0</v>
      </c>
      <c r="U60" s="15">
        <f>IF(T51=0,0,T60/T51)</f>
        <v>0</v>
      </c>
      <c r="W60" s="15">
        <f>IF(V51=0,0,V60/V51)</f>
        <v>0</v>
      </c>
      <c r="Y60" s="15">
        <f>IF(X51=0,0,X60/X51)</f>
        <v>0</v>
      </c>
      <c r="Z60" s="2">
        <v>1</v>
      </c>
      <c r="AA60" s="15">
        <f>IF(Z51=0,0,Z60/Z51)</f>
        <v>0.5</v>
      </c>
      <c r="AC60" s="15">
        <f>IF(AB51=0,0,AB60/AB51)</f>
        <v>0</v>
      </c>
      <c r="AE60" s="15">
        <f>IF(AD51=0,0,AD60/AD51)</f>
        <v>0</v>
      </c>
      <c r="AG60" s="15">
        <f>IF(AF51=0,0,AF60/AF51)</f>
        <v>0</v>
      </c>
      <c r="AI60" s="15">
        <f>IF(AH51=0,0,AH60/AH51)</f>
        <v>0</v>
      </c>
      <c r="AK60" s="15">
        <f>IF(AJ51=0,0,AJ60/AJ51)</f>
        <v>0</v>
      </c>
      <c r="AL60" s="2">
        <v>1</v>
      </c>
      <c r="AM60" s="15">
        <f>IF(AL51=0,0,AL60/AL51)</f>
        <v>0.14285714285714285</v>
      </c>
      <c r="AO60" s="15">
        <f>IF(AN51=0,0,AN60/AN51)</f>
        <v>0</v>
      </c>
      <c r="AQ60" s="15">
        <f>IF(AP51=0,0,AP60/AP51)</f>
        <v>0</v>
      </c>
      <c r="AS60" s="15">
        <f>IF(AR51=0,0,AR60/AR51)</f>
        <v>0</v>
      </c>
      <c r="AU60" s="15">
        <f>IF(AT51=0,0,AT60/AT51)</f>
        <v>0</v>
      </c>
      <c r="AW60" s="15">
        <f>IF(AV51=0,0,AV60/AV51)</f>
        <v>0</v>
      </c>
      <c r="AY60" s="15">
        <f>IF(AX51=0,0,AX60/AX51)</f>
        <v>0</v>
      </c>
      <c r="BA60" s="15">
        <f>IF(AZ51=0,0,AZ60/AZ51)</f>
        <v>0</v>
      </c>
      <c r="BC60" s="15">
        <f>IF(BB51=0,0,BB60/BB51)</f>
        <v>0</v>
      </c>
      <c r="BD60" s="9" t="s">
        <v>59</v>
      </c>
      <c r="BE60" s="9" t="s">
        <v>45</v>
      </c>
      <c r="BF60" s="9"/>
      <c r="BG60" s="9"/>
      <c r="BH60" s="9"/>
      <c r="BI60" s="9"/>
      <c r="BJ60" s="9"/>
      <c r="BK60" s="9"/>
      <c r="BL60" s="9" t="s">
        <v>44</v>
      </c>
      <c r="BM60" s="9"/>
      <c r="BN60" s="9"/>
      <c r="BO60" s="9"/>
      <c r="BP60" s="9"/>
      <c r="BQ60" s="9"/>
    </row>
    <row r="61" spans="1:69" x14ac:dyDescent="0.25">
      <c r="A61" s="2" t="s">
        <v>10</v>
      </c>
      <c r="B61" s="2">
        <f t="shared" si="6"/>
        <v>3</v>
      </c>
      <c r="C61" s="15">
        <f t="shared" si="7"/>
        <v>0.47777777777777775</v>
      </c>
      <c r="D61" s="2">
        <v>1</v>
      </c>
      <c r="E61" s="15">
        <f>IF(D51=0,0,D61/D51)</f>
        <v>0.1111111111111111</v>
      </c>
      <c r="F61" s="2">
        <v>1</v>
      </c>
      <c r="G61" s="15">
        <f>IF(F51=0,0,F61/F51)</f>
        <v>0.2</v>
      </c>
      <c r="I61" s="15">
        <f>IF(H51=0,0,H61/H51)</f>
        <v>0</v>
      </c>
      <c r="K61" s="15">
        <f>IF(J51=0,0,J61/J51)</f>
        <v>0</v>
      </c>
      <c r="M61" s="15">
        <f>IF(L51=0,0,L61/L51)</f>
        <v>0</v>
      </c>
      <c r="O61" s="15">
        <f>IF(N51=0,0,N61/N51)</f>
        <v>0</v>
      </c>
      <c r="Q61" s="15">
        <f>IF(P51=0,0,P61/P51)</f>
        <v>0</v>
      </c>
      <c r="S61" s="15">
        <f>IF(R51=0,0,R61/R51)</f>
        <v>0</v>
      </c>
      <c r="T61" s="2">
        <v>1</v>
      </c>
      <c r="U61" s="15">
        <f>IF(T51=0,0,T61/T51)</f>
        <v>0.16666666666666666</v>
      </c>
      <c r="W61" s="15">
        <f>IF(V51=0,0,V61/V51)</f>
        <v>0</v>
      </c>
      <c r="Y61" s="15">
        <f>IF(X51=0,0,X61/X51)</f>
        <v>0</v>
      </c>
      <c r="AA61" s="15">
        <f>IF(Z51=0,0,Z61/Z51)</f>
        <v>0</v>
      </c>
      <c r="AC61" s="15">
        <f>IF(AB51=0,0,AB61/AB51)</f>
        <v>0</v>
      </c>
      <c r="AE61" s="15">
        <f>IF(AD51=0,0,AD61/AD51)</f>
        <v>0</v>
      </c>
      <c r="AG61" s="15">
        <f>IF(AF51=0,0,AF61/AF51)</f>
        <v>0</v>
      </c>
      <c r="AI61" s="15">
        <f>IF(AH51=0,0,AH61/AH51)</f>
        <v>0</v>
      </c>
      <c r="AK61" s="15">
        <f>IF(AJ51=0,0,AJ61/AJ51)</f>
        <v>0</v>
      </c>
      <c r="AM61" s="15">
        <f>IF(AL51=0,0,AL61/AL51)</f>
        <v>0</v>
      </c>
      <c r="AO61" s="15">
        <f>IF(AN51=0,0,AN61/AN51)</f>
        <v>0</v>
      </c>
      <c r="AQ61" s="15">
        <f>IF(AP51=0,0,AP61/AP51)</f>
        <v>0</v>
      </c>
      <c r="AS61" s="15">
        <f>IF(AR51=0,0,AR61/AR51)</f>
        <v>0</v>
      </c>
      <c r="AU61" s="15">
        <f>IF(AT51=0,0,AT61/AT51)</f>
        <v>0</v>
      </c>
      <c r="AW61" s="15">
        <f>IF(AV51=0,0,AV61/AV51)</f>
        <v>0</v>
      </c>
      <c r="AY61" s="15">
        <f>IF(AX51=0,0,AX61/AX51)</f>
        <v>0</v>
      </c>
      <c r="BA61" s="15">
        <f>IF(AZ51=0,0,AZ61/AZ51)</f>
        <v>0</v>
      </c>
      <c r="BC61" s="15">
        <f>IF(BB51=0,0,BB61/BB51)</f>
        <v>0</v>
      </c>
      <c r="BD61" s="9" t="s">
        <v>60</v>
      </c>
      <c r="BE61" s="9"/>
      <c r="BF61" s="9"/>
      <c r="BG61" s="9"/>
      <c r="BH61" s="9"/>
      <c r="BI61" s="9"/>
      <c r="BJ61" s="9"/>
      <c r="BK61" s="9"/>
      <c r="BL61" s="9" t="s">
        <v>45</v>
      </c>
      <c r="BM61" s="9"/>
      <c r="BN61" s="9"/>
      <c r="BO61" s="9"/>
      <c r="BP61" s="9"/>
      <c r="BQ61" s="9"/>
    </row>
    <row r="62" spans="1:69" x14ac:dyDescent="0.25">
      <c r="A62" s="2" t="s">
        <v>12</v>
      </c>
      <c r="B62" s="2">
        <f t="shared" si="6"/>
        <v>3</v>
      </c>
      <c r="C62" s="15">
        <f t="shared" si="7"/>
        <v>0.77777777777777779</v>
      </c>
      <c r="D62" s="2">
        <v>1</v>
      </c>
      <c r="E62" s="15">
        <f>IF(D51=0,0,D62/D51)</f>
        <v>0.1111111111111111</v>
      </c>
      <c r="G62" s="15">
        <f>IF(F51=0,0,F62/F51)</f>
        <v>0</v>
      </c>
      <c r="I62" s="15">
        <f>IF(H51=0,0,H62/H51)</f>
        <v>0</v>
      </c>
      <c r="K62" s="15">
        <f>IF(J51=0,0,J62/J51)</f>
        <v>0</v>
      </c>
      <c r="M62" s="15">
        <f>IF(L51=0,0,L62/L51)</f>
        <v>0</v>
      </c>
      <c r="O62" s="15">
        <f>IF(N51=0,0,N62/N51)</f>
        <v>0</v>
      </c>
      <c r="Q62" s="15">
        <f>IF(P51=0,0,P62/P51)</f>
        <v>0</v>
      </c>
      <c r="S62" s="15">
        <f>IF(R51=0,0,R62/R51)</f>
        <v>0</v>
      </c>
      <c r="T62" s="2">
        <v>1</v>
      </c>
      <c r="U62" s="15">
        <f>IF(T51=0,0,T62/T51)</f>
        <v>0.16666666666666666</v>
      </c>
      <c r="W62" s="15">
        <f>IF(V51=0,0,V62/V51)</f>
        <v>0</v>
      </c>
      <c r="Y62" s="15">
        <f>IF(X51=0,0,X62/X51)</f>
        <v>0</v>
      </c>
      <c r="AA62" s="15">
        <f>IF(Z51=0,0,Z62/Z51)</f>
        <v>0</v>
      </c>
      <c r="AB62" s="2">
        <v>1</v>
      </c>
      <c r="AC62" s="15">
        <f>IF(AB51=0,0,AB62/AB51)</f>
        <v>0.5</v>
      </c>
      <c r="AE62" s="15">
        <f>IF(AD51=0,0,AD62/AD51)</f>
        <v>0</v>
      </c>
      <c r="AG62" s="15">
        <f>IF(AF51=0,0,AF62/AF51)</f>
        <v>0</v>
      </c>
      <c r="AI62" s="15">
        <f>IF(AH51=0,0,AH62/AH51)</f>
        <v>0</v>
      </c>
      <c r="AK62" s="15">
        <f>IF(AJ51=0,0,AJ62/AJ51)</f>
        <v>0</v>
      </c>
      <c r="AM62" s="15">
        <f>IF(AL51=0,0,AL62/AL51)</f>
        <v>0</v>
      </c>
      <c r="AO62" s="15">
        <f>IF(AN51=0,0,AN62/AN51)</f>
        <v>0</v>
      </c>
      <c r="AQ62" s="15">
        <f>IF(AP51=0,0,AP62/AP51)</f>
        <v>0</v>
      </c>
      <c r="AS62" s="15">
        <f>IF(AR51=0,0,AR62/AR51)</f>
        <v>0</v>
      </c>
      <c r="AU62" s="15">
        <f>IF(AT51=0,0,AT62/AT51)</f>
        <v>0</v>
      </c>
      <c r="AW62" s="15">
        <f>IF(AV51=0,0,AV62/AV51)</f>
        <v>0</v>
      </c>
      <c r="AY62" s="15">
        <f>IF(AX51=0,0,AX62/AX51)</f>
        <v>0</v>
      </c>
      <c r="BA62" s="15">
        <f>IF(AZ51=0,0,AZ62/AZ51)</f>
        <v>0</v>
      </c>
      <c r="BC62" s="15">
        <f>IF(BB51=0,0,BB62/BB51)</f>
        <v>0</v>
      </c>
      <c r="BD62" s="9" t="s">
        <v>61</v>
      </c>
      <c r="BE62" s="9"/>
      <c r="BF62" s="9"/>
      <c r="BG62" s="9"/>
      <c r="BH62" s="9"/>
      <c r="BI62" s="9"/>
      <c r="BJ62" s="9"/>
      <c r="BK62" s="9"/>
      <c r="BL62" s="9" t="s">
        <v>65</v>
      </c>
      <c r="BM62" s="9"/>
      <c r="BN62" s="9"/>
      <c r="BO62" s="9"/>
      <c r="BP62" s="9"/>
      <c r="BQ62" s="9"/>
    </row>
    <row r="63" spans="1:69" x14ac:dyDescent="0.25">
      <c r="A63" s="2" t="s">
        <v>9</v>
      </c>
      <c r="B63" s="2">
        <f t="shared" si="6"/>
        <v>3</v>
      </c>
      <c r="C63" s="15">
        <f t="shared" si="7"/>
        <v>0.43333333333333335</v>
      </c>
      <c r="E63" s="15">
        <f>IF(D51=0,0,D63/D51)</f>
        <v>0</v>
      </c>
      <c r="G63" s="15">
        <f>IF(F51=0,0,F63/F51)</f>
        <v>0</v>
      </c>
      <c r="I63" s="15">
        <f>IF(H51=0,0,H63/H51)</f>
        <v>0</v>
      </c>
      <c r="K63" s="15">
        <f>IF(J51=0,0,J63/J51)</f>
        <v>0</v>
      </c>
      <c r="L63" s="2">
        <v>1</v>
      </c>
      <c r="M63" s="15">
        <f>IF(L51=0,0,L63/L51)</f>
        <v>0.16666666666666666</v>
      </c>
      <c r="O63" s="15">
        <f>IF(N51=0,0,N63/N51)</f>
        <v>0</v>
      </c>
      <c r="Q63" s="15">
        <f>IF(P51=0,0,P63/P51)</f>
        <v>0</v>
      </c>
      <c r="S63" s="15">
        <f>IF(R51=0,0,R63/R51)</f>
        <v>0</v>
      </c>
      <c r="U63" s="15">
        <f>IF(T51=0,0,T63/T51)</f>
        <v>0</v>
      </c>
      <c r="W63" s="15">
        <f>IF(V51=0,0,V63/V51)</f>
        <v>0</v>
      </c>
      <c r="Y63" s="15">
        <f>IF(X51=0,0,X63/X51)</f>
        <v>0</v>
      </c>
      <c r="AA63" s="15">
        <f>IF(Z51=0,0,Z63/Z51)</f>
        <v>0</v>
      </c>
      <c r="AC63" s="15">
        <f>IF(AB51=0,0,AB63/AB51)</f>
        <v>0</v>
      </c>
      <c r="AE63" s="15">
        <f>IF(AD51=0,0,AD63/AD51)</f>
        <v>0</v>
      </c>
      <c r="AG63" s="15">
        <f>IF(AF51=0,0,AF63/AF51)</f>
        <v>0</v>
      </c>
      <c r="AI63" s="15">
        <f>IF(AH51=0,0,AH63/AH51)</f>
        <v>0</v>
      </c>
      <c r="AK63" s="15">
        <f>IF(AJ51=0,0,AJ63/AJ51)</f>
        <v>0</v>
      </c>
      <c r="AM63" s="15">
        <f>IF(AL51=0,0,AL63/AL51)</f>
        <v>0</v>
      </c>
      <c r="AN63" s="2">
        <v>1</v>
      </c>
      <c r="AO63" s="15">
        <f>IF(AN51=0,0,AN63/AN51)</f>
        <v>0.16666666666666666</v>
      </c>
      <c r="AP63" s="2">
        <v>1</v>
      </c>
      <c r="AQ63" s="15">
        <f>IF(AP51=0,0,AP63/AP51)</f>
        <v>0.1</v>
      </c>
      <c r="AS63" s="15">
        <f>IF(AR51=0,0,AR63/AR51)</f>
        <v>0</v>
      </c>
      <c r="AU63" s="15">
        <f>IF(AT51=0,0,AT63/AT51)</f>
        <v>0</v>
      </c>
      <c r="AW63" s="15">
        <f>IF(AV51=0,0,AV63/AV51)</f>
        <v>0</v>
      </c>
      <c r="AY63" s="15">
        <f>IF(AX51=0,0,AX63/AX51)</f>
        <v>0</v>
      </c>
      <c r="BA63" s="15">
        <f>IF(AZ51=0,0,AZ63/AZ51)</f>
        <v>0</v>
      </c>
      <c r="BC63" s="15">
        <f>IF(BB51=0,0,BB63/BB51)</f>
        <v>0</v>
      </c>
      <c r="BD63" s="9" t="s">
        <v>62</v>
      </c>
      <c r="BE63" s="9"/>
      <c r="BF63" s="9"/>
      <c r="BG63" s="9"/>
      <c r="BH63" s="9"/>
      <c r="BI63" s="9"/>
      <c r="BJ63" s="9"/>
      <c r="BK63" s="9"/>
      <c r="BL63" s="9" t="s">
        <v>48</v>
      </c>
      <c r="BM63" s="9"/>
      <c r="BN63" s="9"/>
      <c r="BO63" s="9"/>
      <c r="BP63" s="9"/>
      <c r="BQ63" s="9"/>
    </row>
    <row r="64" spans="1:69" x14ac:dyDescent="0.25">
      <c r="A64" s="2" t="s">
        <v>11</v>
      </c>
      <c r="B64" s="2">
        <f t="shared" si="6"/>
        <v>3</v>
      </c>
      <c r="C64" s="15">
        <f t="shared" si="7"/>
        <v>1.2666666666666668</v>
      </c>
      <c r="E64" s="15">
        <f>IF(D51=0,0,D64/D51)</f>
        <v>0</v>
      </c>
      <c r="G64" s="15">
        <f>IF(F51=0,0,F64/F51)</f>
        <v>0</v>
      </c>
      <c r="I64" s="15">
        <f>IF(H51=0,0,H64/H51)</f>
        <v>0</v>
      </c>
      <c r="K64" s="15">
        <f>IF(J51=0,0,J64/J51)</f>
        <v>0</v>
      </c>
      <c r="M64" s="15">
        <f>IF(L51=0,0,L64/L51)</f>
        <v>0</v>
      </c>
      <c r="O64" s="15">
        <f>IF(N51=0,0,N64/N51)</f>
        <v>0</v>
      </c>
      <c r="Q64" s="15">
        <f>IF(P51=0,0,P64/P51)</f>
        <v>0</v>
      </c>
      <c r="S64" s="15">
        <f>IF(R51=0,0,R64/R51)</f>
        <v>0</v>
      </c>
      <c r="U64" s="15">
        <f>IF(T51=0,0,T64/T51)</f>
        <v>0</v>
      </c>
      <c r="W64" s="15">
        <f>IF(V51=0,0,V64/V51)</f>
        <v>0</v>
      </c>
      <c r="Y64" s="15">
        <f>IF(X51=0,0,X64/X51)</f>
        <v>0</v>
      </c>
      <c r="AA64" s="15">
        <f>IF(Z51=0,0,Z64/Z51)</f>
        <v>0</v>
      </c>
      <c r="AC64" s="15">
        <f>IF(AB51=0,0,AB64/AB51)</f>
        <v>0</v>
      </c>
      <c r="AE64" s="15">
        <f>IF(AD51=0,0,AD64/AD51)</f>
        <v>0</v>
      </c>
      <c r="AF64" s="2">
        <v>1</v>
      </c>
      <c r="AG64" s="15">
        <f>IF(AF51=0,0,AF64/AF51)</f>
        <v>0.1</v>
      </c>
      <c r="AH64" s="2">
        <v>1</v>
      </c>
      <c r="AI64" s="15">
        <f>IF(AH51=0,0,AH64/AH51)</f>
        <v>1</v>
      </c>
      <c r="AK64" s="15">
        <f>IF(AJ51=0,0,AJ64/AJ51)</f>
        <v>0</v>
      </c>
      <c r="AM64" s="15">
        <f>IF(AL51=0,0,AL64/AL51)</f>
        <v>0</v>
      </c>
      <c r="AN64" s="2">
        <v>1</v>
      </c>
      <c r="AO64" s="15">
        <f>IF(AN51=0,0,AN64/AN51)</f>
        <v>0.16666666666666666</v>
      </c>
      <c r="AQ64" s="15">
        <f>IF(AP51=0,0,AP64/AP51)</f>
        <v>0</v>
      </c>
      <c r="AS64" s="15">
        <f>IF(AR51=0,0,AR64/AR51)</f>
        <v>0</v>
      </c>
      <c r="AU64" s="15">
        <f>IF(AT51=0,0,AT64/AT51)</f>
        <v>0</v>
      </c>
      <c r="AW64" s="15">
        <f>IF(AV51=0,0,AV64/AV51)</f>
        <v>0</v>
      </c>
      <c r="AY64" s="15">
        <f>IF(AX51=0,0,AX64/AX51)</f>
        <v>0</v>
      </c>
      <c r="BA64" s="15">
        <f>IF(AZ51=0,0,AZ64/AZ51)</f>
        <v>0</v>
      </c>
      <c r="BC64" s="15">
        <f>IF(BB51=0,0,BB64/BB51)</f>
        <v>0</v>
      </c>
    </row>
    <row r="65" spans="1:1024" x14ac:dyDescent="0.25">
      <c r="C65" s="15"/>
      <c r="G65" s="15"/>
      <c r="I65" s="15"/>
      <c r="K65" s="15"/>
      <c r="M65" s="15"/>
      <c r="O65" s="15"/>
      <c r="Q65" s="15"/>
      <c r="S65" s="15"/>
      <c r="U65" s="15"/>
      <c r="W65" s="15"/>
      <c r="Y65" s="15"/>
      <c r="AA65" s="15"/>
      <c r="AC65" s="15"/>
      <c r="AE65" s="15"/>
      <c r="AG65" s="15"/>
      <c r="AH65" s="5"/>
      <c r="AI65" s="15"/>
      <c r="AJ65" s="9"/>
      <c r="AK65" s="15"/>
      <c r="AM65" s="15"/>
      <c r="AN65" s="9"/>
      <c r="AO65" s="15"/>
      <c r="AQ65" s="15"/>
      <c r="AR65" s="9"/>
      <c r="AS65" s="15"/>
      <c r="AT65" s="9"/>
      <c r="AU65" s="15"/>
      <c r="AW65" s="15"/>
      <c r="AY65" s="15"/>
      <c r="BA65" s="15"/>
      <c r="BC65" s="15"/>
    </row>
    <row r="66" spans="1:1024" ht="15.75" x14ac:dyDescent="0.3">
      <c r="D66" s="1" t="s">
        <v>14</v>
      </c>
      <c r="E66" s="1"/>
      <c r="F66" s="1" t="s">
        <v>15</v>
      </c>
      <c r="G66" s="1"/>
      <c r="H66" s="1" t="s">
        <v>16</v>
      </c>
      <c r="I66" s="1"/>
      <c r="J66" s="1" t="s">
        <v>17</v>
      </c>
      <c r="K66" s="1"/>
      <c r="L66" s="1" t="s">
        <v>18</v>
      </c>
      <c r="M66" s="1"/>
      <c r="N66" s="1" t="s">
        <v>19</v>
      </c>
      <c r="O66" s="1"/>
      <c r="P66" s="1" t="s">
        <v>20</v>
      </c>
      <c r="Q66" s="1"/>
      <c r="R66" s="1" t="s">
        <v>21</v>
      </c>
      <c r="S66" s="1"/>
      <c r="T66" s="1" t="s">
        <v>22</v>
      </c>
      <c r="U66" s="1"/>
      <c r="V66" s="1" t="s">
        <v>23</v>
      </c>
      <c r="W66" s="1"/>
      <c r="X66" s="1" t="s">
        <v>24</v>
      </c>
      <c r="Y66" s="1"/>
      <c r="Z66" s="1" t="s">
        <v>25</v>
      </c>
      <c r="AA66" s="1"/>
      <c r="AB66" s="1" t="s">
        <v>26</v>
      </c>
      <c r="AC66" s="1"/>
      <c r="AD66" s="1" t="s">
        <v>27</v>
      </c>
      <c r="AE66" s="1"/>
      <c r="AF66" s="1" t="s">
        <v>28</v>
      </c>
      <c r="AG66" s="1"/>
      <c r="AH66" s="1" t="s">
        <v>29</v>
      </c>
      <c r="AI66" s="1"/>
      <c r="AJ66" s="1" t="s">
        <v>30</v>
      </c>
      <c r="AK66" s="1"/>
      <c r="AL66" s="1" t="s">
        <v>31</v>
      </c>
      <c r="AM66" s="1"/>
      <c r="AN66" s="1" t="s">
        <v>32</v>
      </c>
      <c r="AO66" s="1"/>
      <c r="AP66" s="1" t="s">
        <v>33</v>
      </c>
      <c r="AQ66" s="1"/>
      <c r="AR66" s="1" t="s">
        <v>34</v>
      </c>
      <c r="AS66" s="1"/>
      <c r="AT66" s="1" t="s">
        <v>35</v>
      </c>
      <c r="AU66" s="1"/>
      <c r="AV66" s="1" t="s">
        <v>36</v>
      </c>
      <c r="AW66" s="1"/>
      <c r="AX66" s="1" t="s">
        <v>37</v>
      </c>
      <c r="AY66" s="1"/>
      <c r="AZ66" s="1" t="s">
        <v>38</v>
      </c>
      <c r="BA66" s="1"/>
      <c r="BB66" s="1" t="s">
        <v>39</v>
      </c>
      <c r="BC66" s="1"/>
    </row>
    <row r="67" spans="1:1024" ht="15.75" x14ac:dyDescent="0.3">
      <c r="D67" s="17">
        <f>SUM(D68:D81)</f>
        <v>9</v>
      </c>
      <c r="E67" s="18"/>
      <c r="F67" s="17">
        <f>SUM(F68:F81)</f>
        <v>5</v>
      </c>
      <c r="G67" s="17"/>
      <c r="H67" s="17">
        <f>SUM(H68:H81)</f>
        <v>3</v>
      </c>
      <c r="I67" s="17"/>
      <c r="J67" s="17">
        <f>SUM(J68:J81)</f>
        <v>0</v>
      </c>
      <c r="K67" s="17"/>
      <c r="L67" s="17">
        <f>SUM(L68:L81)</f>
        <v>6</v>
      </c>
      <c r="M67" s="17"/>
      <c r="N67" s="17">
        <f>SUM(N68:N81)</f>
        <v>0</v>
      </c>
      <c r="O67" s="17"/>
      <c r="P67" s="17">
        <f>SUM(P68:P81)</f>
        <v>0</v>
      </c>
      <c r="Q67" s="17"/>
      <c r="R67" s="17">
        <f>SUM(R68:R81)</f>
        <v>2</v>
      </c>
      <c r="S67" s="17"/>
      <c r="T67" s="17">
        <f>SUM(T68:T81)</f>
        <v>6</v>
      </c>
      <c r="U67" s="17"/>
      <c r="V67" s="17">
        <f>SUM(V68:V81)</f>
        <v>0</v>
      </c>
      <c r="W67" s="17"/>
      <c r="X67" s="17">
        <f>SUM(X68:X81)</f>
        <v>0</v>
      </c>
      <c r="Y67" s="17"/>
      <c r="Z67" s="17">
        <f>SUM(Z68:Z81)</f>
        <v>2</v>
      </c>
      <c r="AA67" s="17"/>
      <c r="AB67" s="17">
        <f>SUM(AB68:AB81)</f>
        <v>2</v>
      </c>
      <c r="AC67" s="17"/>
      <c r="AD67" s="17">
        <f>SUM(AD68:AD81)</f>
        <v>2</v>
      </c>
      <c r="AE67" s="19"/>
      <c r="AF67" s="17">
        <f>SUM(AF68:AF81)</f>
        <v>9</v>
      </c>
      <c r="AG67" s="19"/>
      <c r="AH67" s="17">
        <f>SUM(AH68:AH81)</f>
        <v>1</v>
      </c>
      <c r="AI67" s="19"/>
      <c r="AJ67" s="17">
        <f>SUM(AJ68:AJ81)</f>
        <v>0</v>
      </c>
      <c r="AK67" s="19"/>
      <c r="AL67" s="17">
        <f>SUM(AL68:AL81)</f>
        <v>6</v>
      </c>
      <c r="AM67" s="19"/>
      <c r="AN67" s="17">
        <f>SUM(AN68:AN81)</f>
        <v>6</v>
      </c>
      <c r="AO67" s="19"/>
      <c r="AP67" s="17">
        <f>SUM(AP68:AP81)</f>
        <v>10</v>
      </c>
      <c r="AQ67" s="19"/>
      <c r="AR67" s="17">
        <f>SUM(AR68:AR81)</f>
        <v>3</v>
      </c>
      <c r="AS67" s="19"/>
      <c r="AT67" s="17">
        <f>SUM(AT68:AT81)</f>
        <v>0</v>
      </c>
      <c r="AU67" s="19"/>
      <c r="AV67" s="17">
        <f>SUM(AV68:AV81)</f>
        <v>0</v>
      </c>
      <c r="AW67" s="19"/>
      <c r="AX67" s="17">
        <f>SUM(AX68:AX81)</f>
        <v>0</v>
      </c>
      <c r="AY67" s="19"/>
      <c r="AZ67" s="17">
        <f>SUM(AZ68:AZ81)</f>
        <v>0</v>
      </c>
      <c r="BA67" s="19"/>
      <c r="BB67" s="17">
        <f>SUM(BB68:BB81)</f>
        <v>0</v>
      </c>
      <c r="BD67" s="9"/>
      <c r="BE67" s="9" t="s">
        <v>50</v>
      </c>
      <c r="BF67" s="9" t="s">
        <v>51</v>
      </c>
      <c r="BG67" s="9" t="s">
        <v>52</v>
      </c>
      <c r="BH67" s="9" t="s">
        <v>53</v>
      </c>
      <c r="BI67" s="9" t="s">
        <v>54</v>
      </c>
      <c r="BJ67" s="9" t="s">
        <v>55</v>
      </c>
      <c r="BK67" s="9" t="s">
        <v>56</v>
      </c>
      <c r="BL67" s="9" t="s">
        <v>57</v>
      </c>
      <c r="BM67" s="9" t="s">
        <v>58</v>
      </c>
      <c r="BN67" s="9" t="s">
        <v>59</v>
      </c>
      <c r="BO67" s="9" t="s">
        <v>60</v>
      </c>
      <c r="BP67" s="9" t="s">
        <v>61</v>
      </c>
      <c r="BQ67" s="9" t="s">
        <v>62</v>
      </c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  <c r="HC67"/>
      <c r="HD67"/>
      <c r="HE67"/>
      <c r="HF67"/>
      <c r="HG67"/>
      <c r="HH67"/>
      <c r="HI67"/>
      <c r="HJ67"/>
      <c r="HK67"/>
      <c r="HL67"/>
      <c r="HM67"/>
      <c r="HN67"/>
      <c r="HO67"/>
      <c r="HP67"/>
      <c r="HQ67"/>
      <c r="HR67"/>
      <c r="HS67"/>
      <c r="HT67"/>
      <c r="HU67"/>
      <c r="HV67"/>
      <c r="HW67"/>
      <c r="HX67"/>
      <c r="HY67"/>
      <c r="HZ67"/>
      <c r="IA67"/>
      <c r="IB67"/>
      <c r="IC67"/>
      <c r="ID67"/>
      <c r="IE67"/>
      <c r="IF67"/>
      <c r="IG67"/>
      <c r="IH67"/>
      <c r="II67"/>
      <c r="IJ67"/>
      <c r="IK67"/>
      <c r="IL67"/>
      <c r="IM67"/>
      <c r="IN67"/>
      <c r="IO67"/>
      <c r="IP67"/>
      <c r="IQ67"/>
      <c r="IR67"/>
      <c r="IS67"/>
      <c r="IT67"/>
      <c r="IU67"/>
      <c r="IV67"/>
      <c r="IW67"/>
      <c r="IX67"/>
      <c r="IY67"/>
      <c r="IZ67"/>
      <c r="JA67"/>
      <c r="JB67"/>
      <c r="JC67"/>
      <c r="JD67"/>
      <c r="JE67"/>
      <c r="JF67"/>
      <c r="JG67"/>
      <c r="JH67"/>
      <c r="JI67"/>
      <c r="JJ67"/>
      <c r="JK67"/>
      <c r="JL67"/>
      <c r="JM67"/>
      <c r="JN67"/>
      <c r="JO67"/>
      <c r="JP67"/>
      <c r="JQ67"/>
      <c r="JR67"/>
      <c r="JS67"/>
      <c r="JT67"/>
      <c r="JU67"/>
      <c r="JV67"/>
      <c r="JW67"/>
      <c r="JX67"/>
      <c r="JY67"/>
      <c r="JZ67"/>
      <c r="KA67"/>
      <c r="KB67"/>
      <c r="KC67"/>
      <c r="KD67"/>
      <c r="KE67"/>
      <c r="KF67"/>
      <c r="KG67"/>
      <c r="KH67"/>
      <c r="KI67"/>
      <c r="KJ67"/>
      <c r="KK67"/>
      <c r="KL67"/>
      <c r="KM67"/>
      <c r="KN67"/>
      <c r="KO67"/>
      <c r="KP67"/>
      <c r="KQ67"/>
      <c r="KR67"/>
      <c r="KS67"/>
      <c r="KT67"/>
      <c r="KU67"/>
      <c r="KV67"/>
      <c r="KW67"/>
      <c r="KX67"/>
      <c r="KY67"/>
      <c r="KZ67"/>
      <c r="LA67"/>
      <c r="LB67"/>
      <c r="LC67"/>
      <c r="LD67"/>
      <c r="LE67"/>
      <c r="LF67"/>
      <c r="LG67"/>
      <c r="LH67"/>
      <c r="LI67"/>
      <c r="LJ67"/>
      <c r="LK67"/>
      <c r="LL67"/>
      <c r="LM67"/>
      <c r="LN67"/>
      <c r="LO67"/>
      <c r="LP67"/>
      <c r="LQ67"/>
      <c r="LR67"/>
      <c r="LS67"/>
      <c r="LT67"/>
      <c r="LU67"/>
      <c r="LV67"/>
      <c r="LW67"/>
      <c r="LX67"/>
      <c r="LY67"/>
      <c r="LZ67"/>
      <c r="MA67"/>
      <c r="MB67"/>
      <c r="MC67"/>
      <c r="MD67"/>
      <c r="ME67"/>
      <c r="MF67"/>
      <c r="MG67"/>
      <c r="MH67"/>
      <c r="MI67"/>
      <c r="MJ67"/>
      <c r="MK67"/>
      <c r="ML67"/>
      <c r="MM67"/>
      <c r="MN67"/>
      <c r="MO67"/>
      <c r="MP67"/>
      <c r="MQ67"/>
      <c r="MR67"/>
      <c r="MS67"/>
      <c r="MT67"/>
      <c r="MU67"/>
      <c r="MV67"/>
      <c r="MW67"/>
      <c r="MX67"/>
      <c r="MY67"/>
      <c r="MZ67"/>
      <c r="NA67"/>
      <c r="NB67"/>
      <c r="NC67"/>
      <c r="ND67"/>
      <c r="NE67"/>
      <c r="NF67"/>
      <c r="NG67"/>
      <c r="NH67"/>
      <c r="NI67"/>
      <c r="NJ67"/>
      <c r="NK67"/>
      <c r="NL67"/>
      <c r="NM67"/>
      <c r="NN67"/>
      <c r="NO67"/>
      <c r="NP67"/>
      <c r="NQ67"/>
      <c r="NR67"/>
      <c r="NS67"/>
      <c r="NT67"/>
      <c r="NU67"/>
      <c r="NV67"/>
      <c r="NW67"/>
      <c r="NX67"/>
      <c r="NY67"/>
      <c r="NZ67"/>
      <c r="OA67"/>
      <c r="OB67"/>
      <c r="OC67"/>
      <c r="OD67"/>
      <c r="OE67"/>
      <c r="OF67"/>
      <c r="OG67"/>
      <c r="OH67"/>
      <c r="OI67"/>
      <c r="OJ67"/>
      <c r="OK67"/>
      <c r="OL67"/>
      <c r="OM67"/>
      <c r="ON67"/>
      <c r="OO67"/>
      <c r="OP67"/>
      <c r="OQ67"/>
      <c r="OR67"/>
      <c r="OS67"/>
      <c r="OT67"/>
      <c r="OU67"/>
      <c r="OV67"/>
      <c r="OW67"/>
      <c r="OX67"/>
      <c r="OY67"/>
      <c r="OZ67"/>
      <c r="PA67"/>
      <c r="PB67"/>
      <c r="PC67"/>
      <c r="PD67"/>
      <c r="PE67"/>
      <c r="PF67"/>
      <c r="PG67"/>
      <c r="PH67"/>
      <c r="PI67"/>
      <c r="PJ67"/>
      <c r="PK67"/>
      <c r="PL67"/>
      <c r="PM67"/>
      <c r="PN67"/>
      <c r="PO67"/>
      <c r="PP67"/>
      <c r="PQ67"/>
      <c r="PR67"/>
      <c r="PS67"/>
      <c r="PT67"/>
      <c r="PU67"/>
      <c r="PV67"/>
      <c r="PW67"/>
      <c r="PX67"/>
      <c r="PY67"/>
      <c r="PZ67"/>
      <c r="QA67"/>
      <c r="QB67"/>
      <c r="QC67"/>
      <c r="QD67"/>
      <c r="QE67"/>
      <c r="QF67"/>
      <c r="QG67"/>
      <c r="QH67"/>
      <c r="QI67"/>
      <c r="QJ67"/>
      <c r="QK67"/>
      <c r="QL67"/>
      <c r="QM67"/>
      <c r="QN67"/>
      <c r="QO67"/>
      <c r="QP67"/>
      <c r="QQ67"/>
      <c r="QR67"/>
      <c r="QS67"/>
      <c r="QT67"/>
      <c r="QU67"/>
      <c r="QV67"/>
      <c r="QW67"/>
      <c r="QX67"/>
      <c r="QY67"/>
      <c r="QZ67"/>
      <c r="RA67"/>
      <c r="RB67"/>
      <c r="RC67"/>
      <c r="RD67"/>
      <c r="RE67"/>
      <c r="RF67"/>
      <c r="RG67"/>
      <c r="RH67"/>
      <c r="RI67"/>
      <c r="RJ67"/>
      <c r="RK67"/>
      <c r="RL67"/>
      <c r="RM67"/>
      <c r="RN67"/>
      <c r="RO67"/>
      <c r="RP67"/>
      <c r="RQ67"/>
      <c r="RR67"/>
      <c r="RS67"/>
      <c r="RT67"/>
      <c r="RU67"/>
      <c r="RV67"/>
      <c r="RW67"/>
      <c r="RX67"/>
      <c r="RY67"/>
      <c r="RZ67"/>
      <c r="SA67"/>
      <c r="SB67"/>
      <c r="SC67"/>
      <c r="SD67"/>
      <c r="SE67"/>
      <c r="SF67"/>
      <c r="SG67"/>
      <c r="SH67"/>
      <c r="SI67"/>
      <c r="SJ67"/>
      <c r="SK67"/>
      <c r="SL67"/>
      <c r="SM67"/>
      <c r="SN67"/>
      <c r="SO67"/>
      <c r="SP67"/>
      <c r="SQ67"/>
      <c r="SR67"/>
      <c r="SS67"/>
      <c r="ST67"/>
      <c r="SU67"/>
      <c r="SV67"/>
      <c r="SW67"/>
      <c r="SX67"/>
      <c r="SY67"/>
      <c r="SZ67"/>
      <c r="TA67"/>
      <c r="TB67"/>
      <c r="TC67"/>
      <c r="TD67"/>
      <c r="TE67"/>
      <c r="TF67"/>
      <c r="TG67"/>
      <c r="TH67"/>
      <c r="TI67"/>
      <c r="TJ67"/>
      <c r="TK67"/>
      <c r="TL67"/>
      <c r="TM67"/>
      <c r="TN67"/>
      <c r="TO67"/>
      <c r="TP67"/>
      <c r="TQ67"/>
      <c r="TR67"/>
      <c r="TS67"/>
      <c r="TT67"/>
      <c r="TU67"/>
      <c r="TV67"/>
      <c r="TW67"/>
      <c r="TX67"/>
      <c r="TY67"/>
      <c r="TZ67"/>
      <c r="UA67"/>
      <c r="UB67"/>
      <c r="UC67"/>
      <c r="UD67"/>
      <c r="UE67"/>
      <c r="UF67"/>
      <c r="UG67"/>
      <c r="UH67"/>
      <c r="UI67"/>
      <c r="UJ67"/>
      <c r="UK67"/>
      <c r="UL67"/>
      <c r="UM67"/>
      <c r="UN67"/>
      <c r="UO67"/>
      <c r="UP67"/>
      <c r="UQ67"/>
      <c r="UR67"/>
      <c r="US67"/>
      <c r="UT67"/>
      <c r="UU67"/>
      <c r="UV67"/>
      <c r="UW67"/>
      <c r="UX67"/>
      <c r="UY67"/>
      <c r="UZ67"/>
      <c r="VA67"/>
      <c r="VB67"/>
      <c r="VC67"/>
      <c r="VD67"/>
      <c r="VE67"/>
      <c r="VF67"/>
      <c r="VG67"/>
      <c r="VH67"/>
      <c r="VI67"/>
      <c r="VJ67"/>
      <c r="VK67"/>
      <c r="VL67"/>
      <c r="VM67"/>
      <c r="VN67"/>
      <c r="VO67"/>
      <c r="VP67"/>
      <c r="VQ67"/>
      <c r="VR67"/>
      <c r="VS67"/>
      <c r="VT67"/>
      <c r="VU67"/>
      <c r="VV67"/>
      <c r="VW67"/>
      <c r="VX67"/>
      <c r="VY67"/>
      <c r="VZ67"/>
      <c r="WA67"/>
      <c r="WB67"/>
      <c r="WC67"/>
      <c r="WD67"/>
      <c r="WE67"/>
      <c r="WF67"/>
      <c r="WG67"/>
      <c r="WH67"/>
      <c r="WI67"/>
      <c r="WJ67"/>
      <c r="WK67"/>
      <c r="WL67"/>
      <c r="WM67"/>
      <c r="WN67"/>
      <c r="WO67"/>
      <c r="WP67"/>
      <c r="WQ67"/>
      <c r="WR67"/>
      <c r="WS67"/>
      <c r="WT67"/>
      <c r="WU67"/>
      <c r="WV67"/>
      <c r="WW67"/>
      <c r="WX67"/>
      <c r="WY67"/>
      <c r="WZ67"/>
      <c r="XA67"/>
      <c r="XB67"/>
      <c r="XC67"/>
      <c r="XD67"/>
      <c r="XE67"/>
      <c r="XF67"/>
      <c r="XG67"/>
      <c r="XH67"/>
      <c r="XI67"/>
      <c r="XJ67"/>
      <c r="XK67"/>
      <c r="XL67"/>
      <c r="XM67"/>
      <c r="XN67"/>
      <c r="XO67"/>
      <c r="XP67"/>
      <c r="XQ67"/>
      <c r="XR67"/>
      <c r="XS67"/>
      <c r="XT67"/>
      <c r="XU67"/>
      <c r="XV67"/>
      <c r="XW67"/>
      <c r="XX67"/>
      <c r="XY67"/>
      <c r="XZ67"/>
      <c r="YA67"/>
      <c r="YB67"/>
      <c r="YC67"/>
      <c r="YD67"/>
      <c r="YE67"/>
      <c r="YF67"/>
      <c r="YG67"/>
      <c r="YH67"/>
      <c r="YI67"/>
      <c r="YJ67"/>
      <c r="YK67"/>
      <c r="YL67"/>
      <c r="YM67"/>
      <c r="YN67"/>
      <c r="YO67"/>
      <c r="YP67"/>
      <c r="YQ67"/>
      <c r="YR67"/>
      <c r="YS67"/>
      <c r="YT67"/>
      <c r="YU67"/>
      <c r="YV67"/>
      <c r="YW67"/>
      <c r="YX67"/>
      <c r="YY67"/>
      <c r="YZ67"/>
      <c r="ZA67"/>
      <c r="ZB67"/>
      <c r="ZC67"/>
      <c r="ZD67"/>
      <c r="ZE67"/>
      <c r="ZF67"/>
      <c r="ZG67"/>
      <c r="ZH67"/>
      <c r="ZI67"/>
      <c r="ZJ67"/>
      <c r="ZK67"/>
      <c r="ZL67"/>
      <c r="ZM67"/>
      <c r="ZN67"/>
      <c r="ZO67"/>
      <c r="ZP67"/>
      <c r="ZQ67"/>
      <c r="ZR67"/>
      <c r="ZS67"/>
      <c r="ZT67"/>
      <c r="ZU67"/>
      <c r="ZV67"/>
      <c r="ZW67"/>
      <c r="ZX67"/>
      <c r="ZY67"/>
      <c r="ZZ67"/>
      <c r="AAA67"/>
      <c r="AAB67"/>
      <c r="AAC67"/>
      <c r="AAD67"/>
      <c r="AAE67"/>
      <c r="AAF67"/>
      <c r="AAG67"/>
      <c r="AAH67"/>
      <c r="AAI67"/>
      <c r="AAJ67"/>
      <c r="AAK67"/>
      <c r="AAL67"/>
      <c r="AAM67"/>
      <c r="AAN67"/>
      <c r="AAO67"/>
      <c r="AAP67"/>
      <c r="AAQ67"/>
      <c r="AAR67"/>
      <c r="AAS67"/>
      <c r="AAT67"/>
      <c r="AAU67"/>
      <c r="AAV67"/>
      <c r="AAW67"/>
      <c r="AAX67"/>
      <c r="AAY67"/>
      <c r="AAZ67"/>
      <c r="ABA67"/>
      <c r="ABB67"/>
      <c r="ABC67"/>
      <c r="ABD67"/>
      <c r="ABE67"/>
      <c r="ABF67"/>
      <c r="ABG67"/>
      <c r="ABH67"/>
      <c r="ABI67"/>
      <c r="ABJ67"/>
      <c r="ABK67"/>
      <c r="ABL67"/>
      <c r="ABM67"/>
      <c r="ABN67"/>
      <c r="ABO67"/>
      <c r="ABP67"/>
      <c r="ABQ67"/>
      <c r="ABR67"/>
      <c r="ABS67"/>
      <c r="ABT67"/>
      <c r="ABU67"/>
      <c r="ABV67"/>
      <c r="ABW67"/>
      <c r="ABX67"/>
      <c r="ABY67"/>
      <c r="ABZ67"/>
      <c r="ACA67"/>
      <c r="ACB67"/>
      <c r="ACC67"/>
      <c r="ACD67"/>
      <c r="ACE67"/>
      <c r="ACF67"/>
      <c r="ACG67"/>
      <c r="ACH67"/>
      <c r="ACI67"/>
      <c r="ACJ67"/>
      <c r="ACK67"/>
      <c r="ACL67"/>
      <c r="ACM67"/>
      <c r="ACN67"/>
      <c r="ACO67"/>
      <c r="ACP67"/>
      <c r="ACQ67"/>
      <c r="ACR67"/>
      <c r="ACS67"/>
      <c r="ACT67"/>
      <c r="ACU67"/>
      <c r="ACV67"/>
      <c r="ACW67"/>
      <c r="ACX67"/>
      <c r="ACY67"/>
      <c r="ACZ67"/>
      <c r="ADA67"/>
      <c r="ADB67"/>
      <c r="ADC67"/>
      <c r="ADD67"/>
      <c r="ADE67"/>
      <c r="ADF67"/>
      <c r="ADG67"/>
      <c r="ADH67"/>
      <c r="ADI67"/>
      <c r="ADJ67"/>
      <c r="ADK67"/>
      <c r="ADL67"/>
      <c r="ADM67"/>
      <c r="ADN67"/>
      <c r="ADO67"/>
      <c r="ADP67"/>
      <c r="ADQ67"/>
      <c r="ADR67"/>
      <c r="ADS67"/>
      <c r="ADT67"/>
      <c r="ADU67"/>
      <c r="ADV67"/>
      <c r="ADW67"/>
      <c r="ADX67"/>
      <c r="ADY67"/>
      <c r="ADZ67"/>
      <c r="AEA67"/>
      <c r="AEB67"/>
      <c r="AEC67"/>
      <c r="AED67"/>
      <c r="AEE67"/>
      <c r="AEF67"/>
      <c r="AEG67"/>
      <c r="AEH67"/>
      <c r="AEI67"/>
      <c r="AEJ67"/>
      <c r="AEK67"/>
      <c r="AEL67"/>
      <c r="AEM67"/>
      <c r="AEN67"/>
      <c r="AEO67"/>
      <c r="AEP67"/>
      <c r="AEQ67"/>
      <c r="AER67"/>
      <c r="AES67"/>
      <c r="AET67"/>
      <c r="AEU67"/>
      <c r="AEV67"/>
      <c r="AEW67"/>
      <c r="AEX67"/>
      <c r="AEY67"/>
      <c r="AEZ67"/>
      <c r="AFA67"/>
      <c r="AFB67"/>
      <c r="AFC67"/>
      <c r="AFD67"/>
      <c r="AFE67"/>
      <c r="AFF67"/>
      <c r="AFG67"/>
      <c r="AFH67"/>
      <c r="AFI67"/>
      <c r="AFJ67"/>
      <c r="AFK67"/>
      <c r="AFL67"/>
      <c r="AFM67"/>
      <c r="AFN67"/>
      <c r="AFO67"/>
      <c r="AFP67"/>
      <c r="AFQ67"/>
      <c r="AFR67"/>
      <c r="AFS67"/>
      <c r="AFT67"/>
      <c r="AFU67"/>
      <c r="AFV67"/>
      <c r="AFW67"/>
      <c r="AFX67"/>
      <c r="AFY67"/>
      <c r="AFZ67"/>
      <c r="AGA67"/>
      <c r="AGB67"/>
      <c r="AGC67"/>
      <c r="AGD67"/>
      <c r="AGE67"/>
      <c r="AGF67"/>
      <c r="AGG67"/>
      <c r="AGH67"/>
      <c r="AGI67"/>
      <c r="AGJ67"/>
      <c r="AGK67"/>
      <c r="AGL67"/>
      <c r="AGM67"/>
      <c r="AGN67"/>
      <c r="AGO67"/>
      <c r="AGP67"/>
      <c r="AGQ67"/>
      <c r="AGR67"/>
      <c r="AGS67"/>
      <c r="AGT67"/>
      <c r="AGU67"/>
      <c r="AGV67"/>
      <c r="AGW67"/>
      <c r="AGX67"/>
      <c r="AGY67"/>
      <c r="AGZ67"/>
      <c r="AHA67"/>
      <c r="AHB67"/>
      <c r="AHC67"/>
      <c r="AHD67"/>
      <c r="AHE67"/>
      <c r="AHF67"/>
      <c r="AHG67"/>
      <c r="AHH67"/>
      <c r="AHI67"/>
      <c r="AHJ67"/>
      <c r="AHK67"/>
      <c r="AHL67"/>
      <c r="AHM67"/>
      <c r="AHN67"/>
      <c r="AHO67"/>
      <c r="AHP67"/>
      <c r="AHQ67"/>
      <c r="AHR67"/>
      <c r="AHS67"/>
      <c r="AHT67"/>
      <c r="AHU67"/>
      <c r="AHV67"/>
      <c r="AHW67"/>
      <c r="AHX67"/>
      <c r="AHY67"/>
      <c r="AHZ67"/>
      <c r="AIA67"/>
      <c r="AIB67"/>
      <c r="AIC67"/>
      <c r="AID67"/>
      <c r="AIE67"/>
      <c r="AIF67"/>
      <c r="AIG67"/>
      <c r="AIH67"/>
      <c r="AII67"/>
      <c r="AIJ67"/>
      <c r="AIK67"/>
      <c r="AIL67"/>
      <c r="AIM67"/>
      <c r="AIN67"/>
      <c r="AIO67"/>
      <c r="AIP67"/>
      <c r="AIQ67"/>
      <c r="AIR67"/>
      <c r="AIS67"/>
      <c r="AIT67"/>
      <c r="AIU67"/>
      <c r="AIV67"/>
      <c r="AIW67"/>
      <c r="AIX67"/>
      <c r="AIY67"/>
      <c r="AIZ67"/>
      <c r="AJA67"/>
      <c r="AJB67"/>
      <c r="AJC67"/>
      <c r="AJD67"/>
      <c r="AJE67"/>
      <c r="AJF67"/>
      <c r="AJG67"/>
      <c r="AJH67"/>
      <c r="AJI67"/>
      <c r="AJJ67"/>
      <c r="AJK67"/>
      <c r="AJL67"/>
      <c r="AJM67"/>
      <c r="AJN67"/>
      <c r="AJO67"/>
      <c r="AJP67"/>
      <c r="AJQ67"/>
      <c r="AJR67"/>
      <c r="AJS67"/>
      <c r="AJT67"/>
      <c r="AJU67"/>
      <c r="AJV67"/>
      <c r="AJW67"/>
      <c r="AJX67"/>
      <c r="AJY67"/>
      <c r="AJZ67"/>
      <c r="AKA67"/>
      <c r="AKB67"/>
      <c r="AKC67"/>
      <c r="AKD67"/>
      <c r="AKE67"/>
      <c r="AKF67"/>
      <c r="AKG67"/>
      <c r="AKH67"/>
      <c r="AKI67"/>
      <c r="AKJ67"/>
      <c r="AKK67"/>
      <c r="AKL67"/>
      <c r="AKM67"/>
      <c r="AKN67"/>
      <c r="AKO67"/>
      <c r="AKP67"/>
      <c r="AKQ67"/>
      <c r="AKR67"/>
      <c r="AKS67"/>
      <c r="AKT67"/>
      <c r="AKU67"/>
      <c r="AKV67"/>
      <c r="AKW67"/>
      <c r="AKX67"/>
      <c r="AKY67"/>
      <c r="AKZ67"/>
      <c r="ALA67"/>
      <c r="ALB67"/>
      <c r="ALC67"/>
      <c r="ALD67"/>
      <c r="ALE67"/>
      <c r="ALF67"/>
      <c r="ALG67"/>
      <c r="ALH67"/>
      <c r="ALI67"/>
      <c r="ALJ67"/>
      <c r="ALK67"/>
      <c r="ALL67"/>
      <c r="ALM67"/>
      <c r="ALN67"/>
      <c r="ALO67"/>
      <c r="ALP67"/>
      <c r="ALQ67"/>
      <c r="ALR67"/>
      <c r="ALS67"/>
      <c r="ALT67"/>
      <c r="ALU67"/>
      <c r="ALV67"/>
      <c r="ALW67"/>
      <c r="ALX67"/>
      <c r="ALY67"/>
      <c r="ALZ67"/>
      <c r="AMA67"/>
      <c r="AMB67"/>
      <c r="AMC67"/>
      <c r="AMD67"/>
      <c r="AME67"/>
      <c r="AMF67"/>
      <c r="AMG67"/>
      <c r="AMH67"/>
      <c r="AMI67"/>
      <c r="AMJ67"/>
    </row>
    <row r="68" spans="1:1024" ht="15.75" x14ac:dyDescent="0.3">
      <c r="A68" s="4" t="s">
        <v>0</v>
      </c>
      <c r="B68" s="2">
        <f t="shared" ref="B68:B80" si="8">LEN(A68)</f>
        <v>12</v>
      </c>
      <c r="C68" s="15"/>
      <c r="D68" s="2">
        <v>1</v>
      </c>
      <c r="E68" s="15">
        <f>IF(D67=0,0,D68/D67)</f>
        <v>0.1111111111111111</v>
      </c>
      <c r="G68" s="15">
        <f>IF(F67=0,0,F68/F67)</f>
        <v>0</v>
      </c>
      <c r="I68" s="15">
        <f>IF(H67=0,0,H68/H67)</f>
        <v>0</v>
      </c>
      <c r="K68" s="15">
        <f>IF(J67=0,0,J68/J67)</f>
        <v>0</v>
      </c>
      <c r="L68" s="2">
        <v>2</v>
      </c>
      <c r="M68" s="15">
        <f>IF(L67=0,0,L68/L67)</f>
        <v>0.33333333333333331</v>
      </c>
      <c r="O68" s="15">
        <f>IF(N67=0,0,N68/N67)</f>
        <v>0</v>
      </c>
      <c r="Q68" s="15">
        <f>IF(P67=0,0,P68/P67)</f>
        <v>0</v>
      </c>
      <c r="S68" s="15">
        <f>IF(R67=0,0,R68/R67)</f>
        <v>0</v>
      </c>
      <c r="T68" s="2">
        <v>1</v>
      </c>
      <c r="U68" s="15">
        <f>IF(T67=0,0,T68/T67)</f>
        <v>0.16666666666666666</v>
      </c>
      <c r="W68" s="15">
        <f>IF(V67=0,0,V68/V67)</f>
        <v>0</v>
      </c>
      <c r="Y68" s="15">
        <f>IF(X67=0,0,X68/X67)</f>
        <v>0</v>
      </c>
      <c r="AA68" s="15">
        <f>IF(Z67=0,0,Z68/Z67)</f>
        <v>0</v>
      </c>
      <c r="AC68" s="15">
        <f>IF(AB67=0,0,AB68/AB67)</f>
        <v>0</v>
      </c>
      <c r="AD68" s="2">
        <v>2</v>
      </c>
      <c r="AE68" s="15">
        <f>IF(AD67=0,0,AD68/AD67)</f>
        <v>1</v>
      </c>
      <c r="AG68" s="15">
        <f>IF(AF67=0,0,AF68/AF67)</f>
        <v>0</v>
      </c>
      <c r="AI68" s="15">
        <f>IF(AH67=0,0,AH68/AH67)</f>
        <v>0</v>
      </c>
      <c r="AK68" s="15">
        <f>IF(AJ67=0,0,AJ68/AJ67)</f>
        <v>0</v>
      </c>
      <c r="AL68" s="2">
        <v>1</v>
      </c>
      <c r="AM68" s="15">
        <f>IF(AL67=0,0,AL68/AL67)</f>
        <v>0.16666666666666666</v>
      </c>
      <c r="AN68" s="2">
        <v>2</v>
      </c>
      <c r="AO68" s="15">
        <f>IF(AN67=0,0,AN68/AN67)</f>
        <v>0.33333333333333331</v>
      </c>
      <c r="AP68" s="2">
        <v>2</v>
      </c>
      <c r="AQ68" s="15">
        <f>IF(AP67=0,0,AP68/AP67)</f>
        <v>0.2</v>
      </c>
      <c r="AS68" s="15">
        <f>IF(AR67=0,0,AR68/AR67)</f>
        <v>0</v>
      </c>
      <c r="AU68" s="15">
        <f>IF(AT67=0,0,AT68/AT67)</f>
        <v>0</v>
      </c>
      <c r="AW68" s="15">
        <f>IF(AV67=0,0,AV68/AV67)</f>
        <v>0</v>
      </c>
      <c r="AY68" s="15">
        <f>IF(AX67=0,0,AX68/AX67)</f>
        <v>0</v>
      </c>
      <c r="BA68" s="15">
        <f>IF(AZ67=0,0,AZ68/AZ67)</f>
        <v>0</v>
      </c>
      <c r="BC68" s="15">
        <f>IF(BB67=0,0,BB68/BB67)</f>
        <v>0</v>
      </c>
      <c r="BD68" s="9" t="s">
        <v>51</v>
      </c>
      <c r="BE68" s="9" t="s">
        <v>42</v>
      </c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  <c r="IT68"/>
      <c r="IU68"/>
      <c r="IV68"/>
      <c r="IW68"/>
      <c r="IX68"/>
      <c r="IY68"/>
      <c r="IZ68"/>
      <c r="JA68"/>
      <c r="JB68"/>
      <c r="JC68"/>
      <c r="JD68"/>
      <c r="JE68"/>
      <c r="JF68"/>
      <c r="JG68"/>
      <c r="JH68"/>
      <c r="JI68"/>
      <c r="JJ68"/>
      <c r="JK68"/>
      <c r="JL68"/>
      <c r="JM68"/>
      <c r="JN68"/>
      <c r="JO68"/>
      <c r="JP68"/>
      <c r="JQ68"/>
      <c r="JR68"/>
      <c r="JS68"/>
      <c r="JT68"/>
      <c r="JU68"/>
      <c r="JV68"/>
      <c r="JW68"/>
      <c r="JX68"/>
      <c r="JY68"/>
      <c r="JZ68"/>
      <c r="KA68"/>
      <c r="KB68"/>
      <c r="KC68"/>
      <c r="KD68"/>
      <c r="KE68"/>
      <c r="KF68"/>
      <c r="KG68"/>
      <c r="KH68"/>
      <c r="KI68"/>
      <c r="KJ68"/>
      <c r="KK68"/>
      <c r="KL68"/>
      <c r="KM68"/>
      <c r="KN68"/>
      <c r="KO68"/>
      <c r="KP68"/>
      <c r="KQ68"/>
      <c r="KR68"/>
      <c r="KS68"/>
      <c r="KT68"/>
      <c r="KU68"/>
      <c r="KV68"/>
      <c r="KW68"/>
      <c r="KX68"/>
      <c r="KY68"/>
      <c r="KZ68"/>
      <c r="LA68"/>
      <c r="LB68"/>
      <c r="LC68"/>
      <c r="LD68"/>
      <c r="LE68"/>
      <c r="LF68"/>
      <c r="LG68"/>
      <c r="LH68"/>
      <c r="LI68"/>
      <c r="LJ68"/>
      <c r="LK68"/>
      <c r="LL68"/>
      <c r="LM68"/>
      <c r="LN68"/>
      <c r="LO68"/>
      <c r="LP68"/>
      <c r="LQ68"/>
      <c r="LR68"/>
      <c r="LS68"/>
      <c r="LT68"/>
      <c r="LU68"/>
      <c r="LV68"/>
      <c r="LW68"/>
      <c r="LX68"/>
      <c r="LY68"/>
      <c r="LZ68"/>
      <c r="MA68"/>
      <c r="MB68"/>
      <c r="MC68"/>
      <c r="MD68"/>
      <c r="ME68"/>
      <c r="MF68"/>
      <c r="MG68"/>
      <c r="MH68"/>
      <c r="MI68"/>
      <c r="MJ68"/>
      <c r="MK68"/>
      <c r="ML68"/>
      <c r="MM68"/>
      <c r="MN68"/>
      <c r="MO68"/>
      <c r="MP68"/>
      <c r="MQ68"/>
      <c r="MR68"/>
      <c r="MS68"/>
      <c r="MT68"/>
      <c r="MU68"/>
      <c r="MV68"/>
      <c r="MW68"/>
      <c r="MX68"/>
      <c r="MY68"/>
      <c r="MZ68"/>
      <c r="NA68"/>
      <c r="NB68"/>
      <c r="NC68"/>
      <c r="ND68"/>
      <c r="NE68"/>
      <c r="NF68"/>
      <c r="NG68"/>
      <c r="NH68"/>
      <c r="NI68"/>
      <c r="NJ68"/>
      <c r="NK68"/>
      <c r="NL68"/>
      <c r="NM68"/>
      <c r="NN68"/>
      <c r="NO68"/>
      <c r="NP68"/>
      <c r="NQ68"/>
      <c r="NR68"/>
      <c r="NS68"/>
      <c r="NT68"/>
      <c r="NU68"/>
      <c r="NV68"/>
      <c r="NW68"/>
      <c r="NX68"/>
      <c r="NY68"/>
      <c r="NZ68"/>
      <c r="OA68"/>
      <c r="OB68"/>
      <c r="OC68"/>
      <c r="OD68"/>
      <c r="OE68"/>
      <c r="OF68"/>
      <c r="OG68"/>
      <c r="OH68"/>
      <c r="OI68"/>
      <c r="OJ68"/>
      <c r="OK68"/>
      <c r="OL68"/>
      <c r="OM68"/>
      <c r="ON68"/>
      <c r="OO68"/>
      <c r="OP68"/>
      <c r="OQ68"/>
      <c r="OR68"/>
      <c r="OS68"/>
      <c r="OT68"/>
      <c r="OU68"/>
      <c r="OV68"/>
      <c r="OW68"/>
      <c r="OX68"/>
      <c r="OY68"/>
      <c r="OZ68"/>
      <c r="PA68"/>
      <c r="PB68"/>
      <c r="PC68"/>
      <c r="PD68"/>
      <c r="PE68"/>
      <c r="PF68"/>
      <c r="PG68"/>
      <c r="PH68"/>
      <c r="PI68"/>
      <c r="PJ68"/>
      <c r="PK68"/>
      <c r="PL68"/>
      <c r="PM68"/>
      <c r="PN68"/>
      <c r="PO68"/>
      <c r="PP68"/>
      <c r="PQ68"/>
      <c r="PR68"/>
      <c r="PS68"/>
      <c r="PT68"/>
      <c r="PU68"/>
      <c r="PV68"/>
      <c r="PW68"/>
      <c r="PX68"/>
      <c r="PY68"/>
      <c r="PZ68"/>
      <c r="QA68"/>
      <c r="QB68"/>
      <c r="QC68"/>
      <c r="QD68"/>
      <c r="QE68"/>
      <c r="QF68"/>
      <c r="QG68"/>
      <c r="QH68"/>
      <c r="QI68"/>
      <c r="QJ68"/>
      <c r="QK68"/>
      <c r="QL68"/>
      <c r="QM68"/>
      <c r="QN68"/>
      <c r="QO68"/>
      <c r="QP68"/>
      <c r="QQ68"/>
      <c r="QR68"/>
      <c r="QS68"/>
      <c r="QT68"/>
      <c r="QU68"/>
      <c r="QV68"/>
      <c r="QW68"/>
      <c r="QX68"/>
      <c r="QY68"/>
      <c r="QZ68"/>
      <c r="RA68"/>
      <c r="RB68"/>
      <c r="RC68"/>
      <c r="RD68"/>
      <c r="RE68"/>
      <c r="RF68"/>
      <c r="RG68"/>
      <c r="RH68"/>
      <c r="RI68"/>
      <c r="RJ68"/>
      <c r="RK68"/>
      <c r="RL68"/>
      <c r="RM68"/>
      <c r="RN68"/>
      <c r="RO68"/>
      <c r="RP68"/>
      <c r="RQ68"/>
      <c r="RR68"/>
      <c r="RS68"/>
      <c r="RT68"/>
      <c r="RU68"/>
      <c r="RV68"/>
      <c r="RW68"/>
      <c r="RX68"/>
      <c r="RY68"/>
      <c r="RZ68"/>
      <c r="SA68"/>
      <c r="SB68"/>
      <c r="SC68"/>
      <c r="SD68"/>
      <c r="SE68"/>
      <c r="SF68"/>
      <c r="SG68"/>
      <c r="SH68"/>
      <c r="SI68"/>
      <c r="SJ68"/>
      <c r="SK68"/>
      <c r="SL68"/>
      <c r="SM68"/>
      <c r="SN68"/>
      <c r="SO68"/>
      <c r="SP68"/>
      <c r="SQ68"/>
      <c r="SR68"/>
      <c r="SS68"/>
      <c r="ST68"/>
      <c r="SU68"/>
      <c r="SV68"/>
      <c r="SW68"/>
      <c r="SX68"/>
      <c r="SY68"/>
      <c r="SZ68"/>
      <c r="TA68"/>
      <c r="TB68"/>
      <c r="TC68"/>
      <c r="TD68"/>
      <c r="TE68"/>
      <c r="TF68"/>
      <c r="TG68"/>
      <c r="TH68"/>
      <c r="TI68"/>
      <c r="TJ68"/>
      <c r="TK68"/>
      <c r="TL68"/>
      <c r="TM68"/>
      <c r="TN68"/>
      <c r="TO68"/>
      <c r="TP68"/>
      <c r="TQ68"/>
      <c r="TR68"/>
      <c r="TS68"/>
      <c r="TT68"/>
      <c r="TU68"/>
      <c r="TV68"/>
      <c r="TW68"/>
      <c r="TX68"/>
      <c r="TY68"/>
      <c r="TZ68"/>
      <c r="UA68"/>
      <c r="UB68"/>
      <c r="UC68"/>
      <c r="UD68"/>
      <c r="UE68"/>
      <c r="UF68"/>
      <c r="UG68"/>
      <c r="UH68"/>
      <c r="UI68"/>
      <c r="UJ68"/>
      <c r="UK68"/>
      <c r="UL68"/>
      <c r="UM68"/>
      <c r="UN68"/>
      <c r="UO68"/>
      <c r="UP68"/>
      <c r="UQ68"/>
      <c r="UR68"/>
      <c r="US68"/>
      <c r="UT68"/>
      <c r="UU68"/>
      <c r="UV68"/>
      <c r="UW68"/>
      <c r="UX68"/>
      <c r="UY68"/>
      <c r="UZ68"/>
      <c r="VA68"/>
      <c r="VB68"/>
      <c r="VC68"/>
      <c r="VD68"/>
      <c r="VE68"/>
      <c r="VF68"/>
      <c r="VG68"/>
      <c r="VH68"/>
      <c r="VI68"/>
      <c r="VJ68"/>
      <c r="VK68"/>
      <c r="VL68"/>
      <c r="VM68"/>
      <c r="VN68"/>
      <c r="VO68"/>
      <c r="VP68"/>
      <c r="VQ68"/>
      <c r="VR68"/>
      <c r="VS68"/>
      <c r="VT68"/>
      <c r="VU68"/>
      <c r="VV68"/>
      <c r="VW68"/>
      <c r="VX68"/>
      <c r="VY68"/>
      <c r="VZ68"/>
      <c r="WA68"/>
      <c r="WB68"/>
      <c r="WC68"/>
      <c r="WD68"/>
      <c r="WE68"/>
      <c r="WF68"/>
      <c r="WG68"/>
      <c r="WH68"/>
      <c r="WI68"/>
      <c r="WJ68"/>
      <c r="WK68"/>
      <c r="WL68"/>
      <c r="WM68"/>
      <c r="WN68"/>
      <c r="WO68"/>
      <c r="WP68"/>
      <c r="WQ68"/>
      <c r="WR68"/>
      <c r="WS68"/>
      <c r="WT68"/>
      <c r="WU68"/>
      <c r="WV68"/>
      <c r="WW68"/>
      <c r="WX68"/>
      <c r="WY68"/>
      <c r="WZ68"/>
      <c r="XA68"/>
      <c r="XB68"/>
      <c r="XC68"/>
      <c r="XD68"/>
      <c r="XE68"/>
      <c r="XF68"/>
      <c r="XG68"/>
      <c r="XH68"/>
      <c r="XI68"/>
      <c r="XJ68"/>
      <c r="XK68"/>
      <c r="XL68"/>
      <c r="XM68"/>
      <c r="XN68"/>
      <c r="XO68"/>
      <c r="XP68"/>
      <c r="XQ68"/>
      <c r="XR68"/>
      <c r="XS68"/>
      <c r="XT68"/>
      <c r="XU68"/>
      <c r="XV68"/>
      <c r="XW68"/>
      <c r="XX68"/>
      <c r="XY68"/>
      <c r="XZ68"/>
      <c r="YA68"/>
      <c r="YB68"/>
      <c r="YC68"/>
      <c r="YD68"/>
      <c r="YE68"/>
      <c r="YF68"/>
      <c r="YG68"/>
      <c r="YH68"/>
      <c r="YI68"/>
      <c r="YJ68"/>
      <c r="YK68"/>
      <c r="YL68"/>
      <c r="YM68"/>
      <c r="YN68"/>
      <c r="YO68"/>
      <c r="YP68"/>
      <c r="YQ68"/>
      <c r="YR68"/>
      <c r="YS68"/>
      <c r="YT68"/>
      <c r="YU68"/>
      <c r="YV68"/>
      <c r="YW68"/>
      <c r="YX68"/>
      <c r="YY68"/>
      <c r="YZ68"/>
      <c r="ZA68"/>
      <c r="ZB68"/>
      <c r="ZC68"/>
      <c r="ZD68"/>
      <c r="ZE68"/>
      <c r="ZF68"/>
      <c r="ZG68"/>
      <c r="ZH68"/>
      <c r="ZI68"/>
      <c r="ZJ68"/>
      <c r="ZK68"/>
      <c r="ZL68"/>
      <c r="ZM68"/>
      <c r="ZN68"/>
      <c r="ZO68"/>
      <c r="ZP68"/>
      <c r="ZQ68"/>
      <c r="ZR68"/>
      <c r="ZS68"/>
      <c r="ZT68"/>
      <c r="ZU68"/>
      <c r="ZV68"/>
      <c r="ZW68"/>
      <c r="ZX68"/>
      <c r="ZY68"/>
      <c r="ZZ68"/>
      <c r="AAA68"/>
      <c r="AAB68"/>
      <c r="AAC68"/>
      <c r="AAD68"/>
      <c r="AAE68"/>
      <c r="AAF68"/>
      <c r="AAG68"/>
      <c r="AAH68"/>
      <c r="AAI68"/>
      <c r="AAJ68"/>
      <c r="AAK68"/>
      <c r="AAL68"/>
      <c r="AAM68"/>
      <c r="AAN68"/>
      <c r="AAO68"/>
      <c r="AAP68"/>
      <c r="AAQ68"/>
      <c r="AAR68"/>
      <c r="AAS68"/>
      <c r="AAT68"/>
      <c r="AAU68"/>
      <c r="AAV68"/>
      <c r="AAW68"/>
      <c r="AAX68"/>
      <c r="AAY68"/>
      <c r="AAZ68"/>
      <c r="ABA68"/>
      <c r="ABB68"/>
      <c r="ABC68"/>
      <c r="ABD68"/>
      <c r="ABE68"/>
      <c r="ABF68"/>
      <c r="ABG68"/>
      <c r="ABH68"/>
      <c r="ABI68"/>
      <c r="ABJ68"/>
      <c r="ABK68"/>
      <c r="ABL68"/>
      <c r="ABM68"/>
      <c r="ABN68"/>
      <c r="ABO68"/>
      <c r="ABP68"/>
      <c r="ABQ68"/>
      <c r="ABR68"/>
      <c r="ABS68"/>
      <c r="ABT68"/>
      <c r="ABU68"/>
      <c r="ABV68"/>
      <c r="ABW68"/>
      <c r="ABX68"/>
      <c r="ABY68"/>
      <c r="ABZ68"/>
      <c r="ACA68"/>
      <c r="ACB68"/>
      <c r="ACC68"/>
      <c r="ACD68"/>
      <c r="ACE68"/>
      <c r="ACF68"/>
      <c r="ACG68"/>
      <c r="ACH68"/>
      <c r="ACI68"/>
      <c r="ACJ68"/>
      <c r="ACK68"/>
      <c r="ACL68"/>
      <c r="ACM68"/>
      <c r="ACN68"/>
      <c r="ACO68"/>
      <c r="ACP68"/>
      <c r="ACQ68"/>
      <c r="ACR68"/>
      <c r="ACS68"/>
      <c r="ACT68"/>
      <c r="ACU68"/>
      <c r="ACV68"/>
      <c r="ACW68"/>
      <c r="ACX68"/>
      <c r="ACY68"/>
      <c r="ACZ68"/>
      <c r="ADA68"/>
      <c r="ADB68"/>
      <c r="ADC68"/>
      <c r="ADD68"/>
      <c r="ADE68"/>
      <c r="ADF68"/>
      <c r="ADG68"/>
      <c r="ADH68"/>
      <c r="ADI68"/>
      <c r="ADJ68"/>
      <c r="ADK68"/>
      <c r="ADL68"/>
      <c r="ADM68"/>
      <c r="ADN68"/>
      <c r="ADO68"/>
      <c r="ADP68"/>
      <c r="ADQ68"/>
      <c r="ADR68"/>
      <c r="ADS68"/>
      <c r="ADT68"/>
      <c r="ADU68"/>
      <c r="ADV68"/>
      <c r="ADW68"/>
      <c r="ADX68"/>
      <c r="ADY68"/>
      <c r="ADZ68"/>
      <c r="AEA68"/>
      <c r="AEB68"/>
      <c r="AEC68"/>
      <c r="AED68"/>
      <c r="AEE68"/>
      <c r="AEF68"/>
      <c r="AEG68"/>
      <c r="AEH68"/>
      <c r="AEI68"/>
      <c r="AEJ68"/>
      <c r="AEK68"/>
      <c r="AEL68"/>
      <c r="AEM68"/>
      <c r="AEN68"/>
      <c r="AEO68"/>
      <c r="AEP68"/>
      <c r="AEQ68"/>
      <c r="AER68"/>
      <c r="AES68"/>
      <c r="AET68"/>
      <c r="AEU68"/>
      <c r="AEV68"/>
      <c r="AEW68"/>
      <c r="AEX68"/>
      <c r="AEY68"/>
      <c r="AEZ68"/>
      <c r="AFA68"/>
      <c r="AFB68"/>
      <c r="AFC68"/>
      <c r="AFD68"/>
      <c r="AFE68"/>
      <c r="AFF68"/>
      <c r="AFG68"/>
      <c r="AFH68"/>
      <c r="AFI68"/>
      <c r="AFJ68"/>
      <c r="AFK68"/>
      <c r="AFL68"/>
      <c r="AFM68"/>
      <c r="AFN68"/>
      <c r="AFO68"/>
      <c r="AFP68"/>
      <c r="AFQ68"/>
      <c r="AFR68"/>
      <c r="AFS68"/>
      <c r="AFT68"/>
      <c r="AFU68"/>
      <c r="AFV68"/>
      <c r="AFW68"/>
      <c r="AFX68"/>
      <c r="AFY68"/>
      <c r="AFZ68"/>
      <c r="AGA68"/>
      <c r="AGB68"/>
      <c r="AGC68"/>
      <c r="AGD68"/>
      <c r="AGE68"/>
      <c r="AGF68"/>
      <c r="AGG68"/>
      <c r="AGH68"/>
      <c r="AGI68"/>
      <c r="AGJ68"/>
      <c r="AGK68"/>
      <c r="AGL68"/>
      <c r="AGM68"/>
      <c r="AGN68"/>
      <c r="AGO68"/>
      <c r="AGP68"/>
      <c r="AGQ68"/>
      <c r="AGR68"/>
      <c r="AGS68"/>
      <c r="AGT68"/>
      <c r="AGU68"/>
      <c r="AGV68"/>
      <c r="AGW68"/>
      <c r="AGX68"/>
      <c r="AGY68"/>
      <c r="AGZ68"/>
      <c r="AHA68"/>
      <c r="AHB68"/>
      <c r="AHC68"/>
      <c r="AHD68"/>
      <c r="AHE68"/>
      <c r="AHF68"/>
      <c r="AHG68"/>
      <c r="AHH68"/>
      <c r="AHI68"/>
      <c r="AHJ68"/>
      <c r="AHK68"/>
      <c r="AHL68"/>
      <c r="AHM68"/>
      <c r="AHN68"/>
      <c r="AHO68"/>
      <c r="AHP68"/>
      <c r="AHQ68"/>
      <c r="AHR68"/>
      <c r="AHS68"/>
      <c r="AHT68"/>
      <c r="AHU68"/>
      <c r="AHV68"/>
      <c r="AHW68"/>
      <c r="AHX68"/>
      <c r="AHY68"/>
      <c r="AHZ68"/>
      <c r="AIA68"/>
      <c r="AIB68"/>
      <c r="AIC68"/>
      <c r="AID68"/>
      <c r="AIE68"/>
      <c r="AIF68"/>
      <c r="AIG68"/>
      <c r="AIH68"/>
      <c r="AII68"/>
      <c r="AIJ68"/>
      <c r="AIK68"/>
      <c r="AIL68"/>
      <c r="AIM68"/>
      <c r="AIN68"/>
      <c r="AIO68"/>
      <c r="AIP68"/>
      <c r="AIQ68"/>
      <c r="AIR68"/>
      <c r="AIS68"/>
      <c r="AIT68"/>
      <c r="AIU68"/>
      <c r="AIV68"/>
      <c r="AIW68"/>
      <c r="AIX68"/>
      <c r="AIY68"/>
      <c r="AIZ68"/>
      <c r="AJA68"/>
      <c r="AJB68"/>
      <c r="AJC68"/>
      <c r="AJD68"/>
      <c r="AJE68"/>
      <c r="AJF68"/>
      <c r="AJG68"/>
      <c r="AJH68"/>
      <c r="AJI68"/>
      <c r="AJJ68"/>
      <c r="AJK68"/>
      <c r="AJL68"/>
      <c r="AJM68"/>
      <c r="AJN68"/>
      <c r="AJO68"/>
      <c r="AJP68"/>
      <c r="AJQ68"/>
      <c r="AJR68"/>
      <c r="AJS68"/>
      <c r="AJT68"/>
      <c r="AJU68"/>
      <c r="AJV68"/>
      <c r="AJW68"/>
      <c r="AJX68"/>
      <c r="AJY68"/>
      <c r="AJZ68"/>
      <c r="AKA68"/>
      <c r="AKB68"/>
      <c r="AKC68"/>
      <c r="AKD68"/>
      <c r="AKE68"/>
      <c r="AKF68"/>
      <c r="AKG68"/>
      <c r="AKH68"/>
      <c r="AKI68"/>
      <c r="AKJ68"/>
      <c r="AKK68"/>
      <c r="AKL68"/>
      <c r="AKM68"/>
      <c r="AKN68"/>
      <c r="AKO68"/>
      <c r="AKP68"/>
      <c r="AKQ68"/>
      <c r="AKR68"/>
      <c r="AKS68"/>
      <c r="AKT68"/>
      <c r="AKU68"/>
      <c r="AKV68"/>
      <c r="AKW68"/>
      <c r="AKX68"/>
      <c r="AKY68"/>
      <c r="AKZ68"/>
      <c r="ALA68"/>
      <c r="ALB68"/>
      <c r="ALC68"/>
      <c r="ALD68"/>
      <c r="ALE68"/>
      <c r="ALF68"/>
      <c r="ALG68"/>
      <c r="ALH68"/>
      <c r="ALI68"/>
      <c r="ALJ68"/>
      <c r="ALK68"/>
      <c r="ALL68"/>
      <c r="ALM68"/>
      <c r="ALN68"/>
      <c r="ALO68"/>
      <c r="ALP68"/>
      <c r="ALQ68"/>
      <c r="ALR68"/>
      <c r="ALS68"/>
      <c r="ALT68"/>
      <c r="ALU68"/>
      <c r="ALV68"/>
      <c r="ALW68"/>
      <c r="ALX68"/>
      <c r="ALY68"/>
      <c r="ALZ68"/>
      <c r="AMA68"/>
      <c r="AMB68"/>
      <c r="AMC68"/>
      <c r="AMD68"/>
      <c r="AME68"/>
      <c r="AMF68"/>
      <c r="AMG68"/>
      <c r="AMH68"/>
      <c r="AMI68"/>
      <c r="AMJ68"/>
    </row>
    <row r="69" spans="1:1024" ht="15.75" x14ac:dyDescent="0.3">
      <c r="A69" s="4" t="s">
        <v>2</v>
      </c>
      <c r="B69" s="2">
        <f t="shared" si="8"/>
        <v>9</v>
      </c>
      <c r="C69" s="15"/>
      <c r="D69" s="2">
        <v>1</v>
      </c>
      <c r="E69" s="15">
        <f>IF(D67=0,0,D69/D67)</f>
        <v>0.1111111111111111</v>
      </c>
      <c r="G69" s="15">
        <f>IF(F67=0,0,F69/F67)</f>
        <v>0</v>
      </c>
      <c r="H69" s="2">
        <v>2</v>
      </c>
      <c r="I69" s="15">
        <f>IF(H67=0,0,H69/H67)</f>
        <v>0.66666666666666663</v>
      </c>
      <c r="J69" s="2">
        <v>0</v>
      </c>
      <c r="K69" s="15">
        <f>IF(J67=0,0,J69/J67)</f>
        <v>0</v>
      </c>
      <c r="L69" s="2">
        <v>1</v>
      </c>
      <c r="M69" s="15">
        <f>IF(L67=0,0,L69/L67)</f>
        <v>0.16666666666666666</v>
      </c>
      <c r="O69" s="15">
        <f>IF(N67=0,0,N69/N67)</f>
        <v>0</v>
      </c>
      <c r="Q69" s="15">
        <f>IF(P67=0,0,P69/P67)</f>
        <v>0</v>
      </c>
      <c r="S69" s="15">
        <f>IF(R67=0,0,R69/R67)</f>
        <v>0</v>
      </c>
      <c r="T69" s="2">
        <v>0</v>
      </c>
      <c r="U69" s="15">
        <f>IF(T67=0,0,T69/T67)</f>
        <v>0</v>
      </c>
      <c r="W69" s="15">
        <f>IF(V67=0,0,V69/V67)</f>
        <v>0</v>
      </c>
      <c r="Y69" s="15">
        <f>IF(X67=0,0,X69/X67)</f>
        <v>0</v>
      </c>
      <c r="AA69" s="15">
        <f>IF(Z67=0,0,Z69/Z67)</f>
        <v>0</v>
      </c>
      <c r="AC69" s="15">
        <f>IF(AB67=0,0,AB69/AB67)</f>
        <v>0</v>
      </c>
      <c r="AE69" s="15">
        <f>IF(AD67=0,0,AD69/AD67)</f>
        <v>0</v>
      </c>
      <c r="AF69" s="2">
        <v>1</v>
      </c>
      <c r="AG69" s="15">
        <f>IF(AF67=0,0,AF69/AF67)</f>
        <v>0.1111111111111111</v>
      </c>
      <c r="AI69" s="15">
        <f>IF(AH67=0,0,AH69/AH67)</f>
        <v>0</v>
      </c>
      <c r="AK69" s="15">
        <f>IF(AJ67=0,0,AJ69/AJ67)</f>
        <v>0</v>
      </c>
      <c r="AM69" s="15">
        <f>IF(AL67=0,0,AL69/AL67)</f>
        <v>0</v>
      </c>
      <c r="AN69" s="2">
        <v>0</v>
      </c>
      <c r="AO69" s="15">
        <f>IF(AN67=0,0,AN69/AN67)</f>
        <v>0</v>
      </c>
      <c r="AP69" s="2">
        <v>1</v>
      </c>
      <c r="AQ69" s="15">
        <f>IF(AP67=0,0,AP69/AP67)</f>
        <v>0.1</v>
      </c>
      <c r="AS69" s="15">
        <f>IF(AR67=0,0,AR69/AR67)</f>
        <v>0</v>
      </c>
      <c r="AU69" s="15">
        <f>IF(AT67=0,0,AT69/AT67)</f>
        <v>0</v>
      </c>
      <c r="AW69" s="15">
        <f>IF(AV67=0,0,AV69/AV67)</f>
        <v>0</v>
      </c>
      <c r="AY69" s="15">
        <f>IF(AX67=0,0,AX69/AX67)</f>
        <v>0</v>
      </c>
      <c r="BA69" s="15">
        <f>IF(AZ67=0,0,AZ69/AZ67)</f>
        <v>0</v>
      </c>
      <c r="BC69" s="15">
        <f>IF(BB67=0,0,BB69/BB67)</f>
        <v>0</v>
      </c>
      <c r="BD69" s="9" t="s">
        <v>52</v>
      </c>
      <c r="BE69" s="9" t="s">
        <v>43</v>
      </c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  <c r="HC69"/>
      <c r="HD69"/>
      <c r="HE69"/>
      <c r="HF69"/>
      <c r="HG69"/>
      <c r="HH69"/>
      <c r="HI69"/>
      <c r="HJ69"/>
      <c r="HK69"/>
      <c r="HL69"/>
      <c r="HM69"/>
      <c r="HN69"/>
      <c r="HO69"/>
      <c r="HP69"/>
      <c r="HQ69"/>
      <c r="HR69"/>
      <c r="HS69"/>
      <c r="HT69"/>
      <c r="HU69"/>
      <c r="HV69"/>
      <c r="HW69"/>
      <c r="HX69"/>
      <c r="HY69"/>
      <c r="HZ69"/>
      <c r="IA69"/>
      <c r="IB69"/>
      <c r="IC69"/>
      <c r="ID69"/>
      <c r="IE69"/>
      <c r="IF69"/>
      <c r="IG69"/>
      <c r="IH69"/>
      <c r="II69"/>
      <c r="IJ69"/>
      <c r="IK69"/>
      <c r="IL69"/>
      <c r="IM69"/>
      <c r="IN69"/>
      <c r="IO69"/>
      <c r="IP69"/>
      <c r="IQ69"/>
      <c r="IR69"/>
      <c r="IS69"/>
      <c r="IT69"/>
      <c r="IU69"/>
      <c r="IV69"/>
      <c r="IW69"/>
      <c r="IX69"/>
      <c r="IY69"/>
      <c r="IZ69"/>
      <c r="JA69"/>
      <c r="JB69"/>
      <c r="JC69"/>
      <c r="JD69"/>
      <c r="JE69"/>
      <c r="JF69"/>
      <c r="JG69"/>
      <c r="JH69"/>
      <c r="JI69"/>
      <c r="JJ69"/>
      <c r="JK69"/>
      <c r="JL69"/>
      <c r="JM69"/>
      <c r="JN69"/>
      <c r="JO69"/>
      <c r="JP69"/>
      <c r="JQ69"/>
      <c r="JR69"/>
      <c r="JS69"/>
      <c r="JT69"/>
      <c r="JU69"/>
      <c r="JV69"/>
      <c r="JW69"/>
      <c r="JX69"/>
      <c r="JY69"/>
      <c r="JZ69"/>
      <c r="KA69"/>
      <c r="KB69"/>
      <c r="KC69"/>
      <c r="KD69"/>
      <c r="KE69"/>
      <c r="KF69"/>
      <c r="KG69"/>
      <c r="KH69"/>
      <c r="KI69"/>
      <c r="KJ69"/>
      <c r="KK69"/>
      <c r="KL69"/>
      <c r="KM69"/>
      <c r="KN69"/>
      <c r="KO69"/>
      <c r="KP69"/>
      <c r="KQ69"/>
      <c r="KR69"/>
      <c r="KS69"/>
      <c r="KT69"/>
      <c r="KU69"/>
      <c r="KV69"/>
      <c r="KW69"/>
      <c r="KX69"/>
      <c r="KY69"/>
      <c r="KZ69"/>
      <c r="LA69"/>
      <c r="LB69"/>
      <c r="LC69"/>
      <c r="LD69"/>
      <c r="LE69"/>
      <c r="LF69"/>
      <c r="LG69"/>
      <c r="LH69"/>
      <c r="LI69"/>
      <c r="LJ69"/>
      <c r="LK69"/>
      <c r="LL69"/>
      <c r="LM69"/>
      <c r="LN69"/>
      <c r="LO69"/>
      <c r="LP69"/>
      <c r="LQ69"/>
      <c r="LR69"/>
      <c r="LS69"/>
      <c r="LT69"/>
      <c r="LU69"/>
      <c r="LV69"/>
      <c r="LW69"/>
      <c r="LX69"/>
      <c r="LY69"/>
      <c r="LZ69"/>
      <c r="MA69"/>
      <c r="MB69"/>
      <c r="MC69"/>
      <c r="MD69"/>
      <c r="ME69"/>
      <c r="MF69"/>
      <c r="MG69"/>
      <c r="MH69"/>
      <c r="MI69"/>
      <c r="MJ69"/>
      <c r="MK69"/>
      <c r="ML69"/>
      <c r="MM69"/>
      <c r="MN69"/>
      <c r="MO69"/>
      <c r="MP69"/>
      <c r="MQ69"/>
      <c r="MR69"/>
      <c r="MS69"/>
      <c r="MT69"/>
      <c r="MU69"/>
      <c r="MV69"/>
      <c r="MW69"/>
      <c r="MX69"/>
      <c r="MY69"/>
      <c r="MZ69"/>
      <c r="NA69"/>
      <c r="NB69"/>
      <c r="NC69"/>
      <c r="ND69"/>
      <c r="NE69"/>
      <c r="NF69"/>
      <c r="NG69"/>
      <c r="NH69"/>
      <c r="NI69"/>
      <c r="NJ69"/>
      <c r="NK69"/>
      <c r="NL69"/>
      <c r="NM69"/>
      <c r="NN69"/>
      <c r="NO69"/>
      <c r="NP69"/>
      <c r="NQ69"/>
      <c r="NR69"/>
      <c r="NS69"/>
      <c r="NT69"/>
      <c r="NU69"/>
      <c r="NV69"/>
      <c r="NW69"/>
      <c r="NX69"/>
      <c r="NY69"/>
      <c r="NZ69"/>
      <c r="OA69"/>
      <c r="OB69"/>
      <c r="OC69"/>
      <c r="OD69"/>
      <c r="OE69"/>
      <c r="OF69"/>
      <c r="OG69"/>
      <c r="OH69"/>
      <c r="OI69"/>
      <c r="OJ69"/>
      <c r="OK69"/>
      <c r="OL69"/>
      <c r="OM69"/>
      <c r="ON69"/>
      <c r="OO69"/>
      <c r="OP69"/>
      <c r="OQ69"/>
      <c r="OR69"/>
      <c r="OS69"/>
      <c r="OT69"/>
      <c r="OU69"/>
      <c r="OV69"/>
      <c r="OW69"/>
      <c r="OX69"/>
      <c r="OY69"/>
      <c r="OZ69"/>
      <c r="PA69"/>
      <c r="PB69"/>
      <c r="PC69"/>
      <c r="PD69"/>
      <c r="PE69"/>
      <c r="PF69"/>
      <c r="PG69"/>
      <c r="PH69"/>
      <c r="PI69"/>
      <c r="PJ69"/>
      <c r="PK69"/>
      <c r="PL69"/>
      <c r="PM69"/>
      <c r="PN69"/>
      <c r="PO69"/>
      <c r="PP69"/>
      <c r="PQ69"/>
      <c r="PR69"/>
      <c r="PS69"/>
      <c r="PT69"/>
      <c r="PU69"/>
      <c r="PV69"/>
      <c r="PW69"/>
      <c r="PX69"/>
      <c r="PY69"/>
      <c r="PZ69"/>
      <c r="QA69"/>
      <c r="QB69"/>
      <c r="QC69"/>
      <c r="QD69"/>
      <c r="QE69"/>
      <c r="QF69"/>
      <c r="QG69"/>
      <c r="QH69"/>
      <c r="QI69"/>
      <c r="QJ69"/>
      <c r="QK69"/>
      <c r="QL69"/>
      <c r="QM69"/>
      <c r="QN69"/>
      <c r="QO69"/>
      <c r="QP69"/>
      <c r="QQ69"/>
      <c r="QR69"/>
      <c r="QS69"/>
      <c r="QT69"/>
      <c r="QU69"/>
      <c r="QV69"/>
      <c r="QW69"/>
      <c r="QX69"/>
      <c r="QY69"/>
      <c r="QZ69"/>
      <c r="RA69"/>
      <c r="RB69"/>
      <c r="RC69"/>
      <c r="RD69"/>
      <c r="RE69"/>
      <c r="RF69"/>
      <c r="RG69"/>
      <c r="RH69"/>
      <c r="RI69"/>
      <c r="RJ69"/>
      <c r="RK69"/>
      <c r="RL69"/>
      <c r="RM69"/>
      <c r="RN69"/>
      <c r="RO69"/>
      <c r="RP69"/>
      <c r="RQ69"/>
      <c r="RR69"/>
      <c r="RS69"/>
      <c r="RT69"/>
      <c r="RU69"/>
      <c r="RV69"/>
      <c r="RW69"/>
      <c r="RX69"/>
      <c r="RY69"/>
      <c r="RZ69"/>
      <c r="SA69"/>
      <c r="SB69"/>
      <c r="SC69"/>
      <c r="SD69"/>
      <c r="SE69"/>
      <c r="SF69"/>
      <c r="SG69"/>
      <c r="SH69"/>
      <c r="SI69"/>
      <c r="SJ69"/>
      <c r="SK69"/>
      <c r="SL69"/>
      <c r="SM69"/>
      <c r="SN69"/>
      <c r="SO69"/>
      <c r="SP69"/>
      <c r="SQ69"/>
      <c r="SR69"/>
      <c r="SS69"/>
      <c r="ST69"/>
      <c r="SU69"/>
      <c r="SV69"/>
      <c r="SW69"/>
      <c r="SX69"/>
      <c r="SY69"/>
      <c r="SZ69"/>
      <c r="TA69"/>
      <c r="TB69"/>
      <c r="TC69"/>
      <c r="TD69"/>
      <c r="TE69"/>
      <c r="TF69"/>
      <c r="TG69"/>
      <c r="TH69"/>
      <c r="TI69"/>
      <c r="TJ69"/>
      <c r="TK69"/>
      <c r="TL69"/>
      <c r="TM69"/>
      <c r="TN69"/>
      <c r="TO69"/>
      <c r="TP69"/>
      <c r="TQ69"/>
      <c r="TR69"/>
      <c r="TS69"/>
      <c r="TT69"/>
      <c r="TU69"/>
      <c r="TV69"/>
      <c r="TW69"/>
      <c r="TX69"/>
      <c r="TY69"/>
      <c r="TZ69"/>
      <c r="UA69"/>
      <c r="UB69"/>
      <c r="UC69"/>
      <c r="UD69"/>
      <c r="UE69"/>
      <c r="UF69"/>
      <c r="UG69"/>
      <c r="UH69"/>
      <c r="UI69"/>
      <c r="UJ69"/>
      <c r="UK69"/>
      <c r="UL69"/>
      <c r="UM69"/>
      <c r="UN69"/>
      <c r="UO69"/>
      <c r="UP69"/>
      <c r="UQ69"/>
      <c r="UR69"/>
      <c r="US69"/>
      <c r="UT69"/>
      <c r="UU69"/>
      <c r="UV69"/>
      <c r="UW69"/>
      <c r="UX69"/>
      <c r="UY69"/>
      <c r="UZ69"/>
      <c r="VA69"/>
      <c r="VB69"/>
      <c r="VC69"/>
      <c r="VD69"/>
      <c r="VE69"/>
      <c r="VF69"/>
      <c r="VG69"/>
      <c r="VH69"/>
      <c r="VI69"/>
      <c r="VJ69"/>
      <c r="VK69"/>
      <c r="VL69"/>
      <c r="VM69"/>
      <c r="VN69"/>
      <c r="VO69"/>
      <c r="VP69"/>
      <c r="VQ69"/>
      <c r="VR69"/>
      <c r="VS69"/>
      <c r="VT69"/>
      <c r="VU69"/>
      <c r="VV69"/>
      <c r="VW69"/>
      <c r="VX69"/>
      <c r="VY69"/>
      <c r="VZ69"/>
      <c r="WA69"/>
      <c r="WB69"/>
      <c r="WC69"/>
      <c r="WD69"/>
      <c r="WE69"/>
      <c r="WF69"/>
      <c r="WG69"/>
      <c r="WH69"/>
      <c r="WI69"/>
      <c r="WJ69"/>
      <c r="WK69"/>
      <c r="WL69"/>
      <c r="WM69"/>
      <c r="WN69"/>
      <c r="WO69"/>
      <c r="WP69"/>
      <c r="WQ69"/>
      <c r="WR69"/>
      <c r="WS69"/>
      <c r="WT69"/>
      <c r="WU69"/>
      <c r="WV69"/>
      <c r="WW69"/>
      <c r="WX69"/>
      <c r="WY69"/>
      <c r="WZ69"/>
      <c r="XA69"/>
      <c r="XB69"/>
      <c r="XC69"/>
      <c r="XD69"/>
      <c r="XE69"/>
      <c r="XF69"/>
      <c r="XG69"/>
      <c r="XH69"/>
      <c r="XI69"/>
      <c r="XJ69"/>
      <c r="XK69"/>
      <c r="XL69"/>
      <c r="XM69"/>
      <c r="XN69"/>
      <c r="XO69"/>
      <c r="XP69"/>
      <c r="XQ69"/>
      <c r="XR69"/>
      <c r="XS69"/>
      <c r="XT69"/>
      <c r="XU69"/>
      <c r="XV69"/>
      <c r="XW69"/>
      <c r="XX69"/>
      <c r="XY69"/>
      <c r="XZ69"/>
      <c r="YA69"/>
      <c r="YB69"/>
      <c r="YC69"/>
      <c r="YD69"/>
      <c r="YE69"/>
      <c r="YF69"/>
      <c r="YG69"/>
      <c r="YH69"/>
      <c r="YI69"/>
      <c r="YJ69"/>
      <c r="YK69"/>
      <c r="YL69"/>
      <c r="YM69"/>
      <c r="YN69"/>
      <c r="YO69"/>
      <c r="YP69"/>
      <c r="YQ69"/>
      <c r="YR69"/>
      <c r="YS69"/>
      <c r="YT69"/>
      <c r="YU69"/>
      <c r="YV69"/>
      <c r="YW69"/>
      <c r="YX69"/>
      <c r="YY69"/>
      <c r="YZ69"/>
      <c r="ZA69"/>
      <c r="ZB69"/>
      <c r="ZC69"/>
      <c r="ZD69"/>
      <c r="ZE69"/>
      <c r="ZF69"/>
      <c r="ZG69"/>
      <c r="ZH69"/>
      <c r="ZI69"/>
      <c r="ZJ69"/>
      <c r="ZK69"/>
      <c r="ZL69"/>
      <c r="ZM69"/>
      <c r="ZN69"/>
      <c r="ZO69"/>
      <c r="ZP69"/>
      <c r="ZQ69"/>
      <c r="ZR69"/>
      <c r="ZS69"/>
      <c r="ZT69"/>
      <c r="ZU69"/>
      <c r="ZV69"/>
      <c r="ZW69"/>
      <c r="ZX69"/>
      <c r="ZY69"/>
      <c r="ZZ69"/>
      <c r="AAA69"/>
      <c r="AAB69"/>
      <c r="AAC69"/>
      <c r="AAD69"/>
      <c r="AAE69"/>
      <c r="AAF69"/>
      <c r="AAG69"/>
      <c r="AAH69"/>
      <c r="AAI69"/>
      <c r="AAJ69"/>
      <c r="AAK69"/>
      <c r="AAL69"/>
      <c r="AAM69"/>
      <c r="AAN69"/>
      <c r="AAO69"/>
      <c r="AAP69"/>
      <c r="AAQ69"/>
      <c r="AAR69"/>
      <c r="AAS69"/>
      <c r="AAT69"/>
      <c r="AAU69"/>
      <c r="AAV69"/>
      <c r="AAW69"/>
      <c r="AAX69"/>
      <c r="AAY69"/>
      <c r="AAZ69"/>
      <c r="ABA69"/>
      <c r="ABB69"/>
      <c r="ABC69"/>
      <c r="ABD69"/>
      <c r="ABE69"/>
      <c r="ABF69"/>
      <c r="ABG69"/>
      <c r="ABH69"/>
      <c r="ABI69"/>
      <c r="ABJ69"/>
      <c r="ABK69"/>
      <c r="ABL69"/>
      <c r="ABM69"/>
      <c r="ABN69"/>
      <c r="ABO69"/>
      <c r="ABP69"/>
      <c r="ABQ69"/>
      <c r="ABR69"/>
      <c r="ABS69"/>
      <c r="ABT69"/>
      <c r="ABU69"/>
      <c r="ABV69"/>
      <c r="ABW69"/>
      <c r="ABX69"/>
      <c r="ABY69"/>
      <c r="ABZ69"/>
      <c r="ACA69"/>
      <c r="ACB69"/>
      <c r="ACC69"/>
      <c r="ACD69"/>
      <c r="ACE69"/>
      <c r="ACF69"/>
      <c r="ACG69"/>
      <c r="ACH69"/>
      <c r="ACI69"/>
      <c r="ACJ69"/>
      <c r="ACK69"/>
      <c r="ACL69"/>
      <c r="ACM69"/>
      <c r="ACN69"/>
      <c r="ACO69"/>
      <c r="ACP69"/>
      <c r="ACQ69"/>
      <c r="ACR69"/>
      <c r="ACS69"/>
      <c r="ACT69"/>
      <c r="ACU69"/>
      <c r="ACV69"/>
      <c r="ACW69"/>
      <c r="ACX69"/>
      <c r="ACY69"/>
      <c r="ACZ69"/>
      <c r="ADA69"/>
      <c r="ADB69"/>
      <c r="ADC69"/>
      <c r="ADD69"/>
      <c r="ADE69"/>
      <c r="ADF69"/>
      <c r="ADG69"/>
      <c r="ADH69"/>
      <c r="ADI69"/>
      <c r="ADJ69"/>
      <c r="ADK69"/>
      <c r="ADL69"/>
      <c r="ADM69"/>
      <c r="ADN69"/>
      <c r="ADO69"/>
      <c r="ADP69"/>
      <c r="ADQ69"/>
      <c r="ADR69"/>
      <c r="ADS69"/>
      <c r="ADT69"/>
      <c r="ADU69"/>
      <c r="ADV69"/>
      <c r="ADW69"/>
      <c r="ADX69"/>
      <c r="ADY69"/>
      <c r="ADZ69"/>
      <c r="AEA69"/>
      <c r="AEB69"/>
      <c r="AEC69"/>
      <c r="AED69"/>
      <c r="AEE69"/>
      <c r="AEF69"/>
      <c r="AEG69"/>
      <c r="AEH69"/>
      <c r="AEI69"/>
      <c r="AEJ69"/>
      <c r="AEK69"/>
      <c r="AEL69"/>
      <c r="AEM69"/>
      <c r="AEN69"/>
      <c r="AEO69"/>
      <c r="AEP69"/>
      <c r="AEQ69"/>
      <c r="AER69"/>
      <c r="AES69"/>
      <c r="AET69"/>
      <c r="AEU69"/>
      <c r="AEV69"/>
      <c r="AEW69"/>
      <c r="AEX69"/>
      <c r="AEY69"/>
      <c r="AEZ69"/>
      <c r="AFA69"/>
      <c r="AFB69"/>
      <c r="AFC69"/>
      <c r="AFD69"/>
      <c r="AFE69"/>
      <c r="AFF69"/>
      <c r="AFG69"/>
      <c r="AFH69"/>
      <c r="AFI69"/>
      <c r="AFJ69"/>
      <c r="AFK69"/>
      <c r="AFL69"/>
      <c r="AFM69"/>
      <c r="AFN69"/>
      <c r="AFO69"/>
      <c r="AFP69"/>
      <c r="AFQ69"/>
      <c r="AFR69"/>
      <c r="AFS69"/>
      <c r="AFT69"/>
      <c r="AFU69"/>
      <c r="AFV69"/>
      <c r="AFW69"/>
      <c r="AFX69"/>
      <c r="AFY69"/>
      <c r="AFZ69"/>
      <c r="AGA69"/>
      <c r="AGB69"/>
      <c r="AGC69"/>
      <c r="AGD69"/>
      <c r="AGE69"/>
      <c r="AGF69"/>
      <c r="AGG69"/>
      <c r="AGH69"/>
      <c r="AGI69"/>
      <c r="AGJ69"/>
      <c r="AGK69"/>
      <c r="AGL69"/>
      <c r="AGM69"/>
      <c r="AGN69"/>
      <c r="AGO69"/>
      <c r="AGP69"/>
      <c r="AGQ69"/>
      <c r="AGR69"/>
      <c r="AGS69"/>
      <c r="AGT69"/>
      <c r="AGU69"/>
      <c r="AGV69"/>
      <c r="AGW69"/>
      <c r="AGX69"/>
      <c r="AGY69"/>
      <c r="AGZ69"/>
      <c r="AHA69"/>
      <c r="AHB69"/>
      <c r="AHC69"/>
      <c r="AHD69"/>
      <c r="AHE69"/>
      <c r="AHF69"/>
      <c r="AHG69"/>
      <c r="AHH69"/>
      <c r="AHI69"/>
      <c r="AHJ69"/>
      <c r="AHK69"/>
      <c r="AHL69"/>
      <c r="AHM69"/>
      <c r="AHN69"/>
      <c r="AHO69"/>
      <c r="AHP69"/>
      <c r="AHQ69"/>
      <c r="AHR69"/>
      <c r="AHS69"/>
      <c r="AHT69"/>
      <c r="AHU69"/>
      <c r="AHV69"/>
      <c r="AHW69"/>
      <c r="AHX69"/>
      <c r="AHY69"/>
      <c r="AHZ69"/>
      <c r="AIA69"/>
      <c r="AIB69"/>
      <c r="AIC69"/>
      <c r="AID69"/>
      <c r="AIE69"/>
      <c r="AIF69"/>
      <c r="AIG69"/>
      <c r="AIH69"/>
      <c r="AII69"/>
      <c r="AIJ69"/>
      <c r="AIK69"/>
      <c r="AIL69"/>
      <c r="AIM69"/>
      <c r="AIN69"/>
      <c r="AIO69"/>
      <c r="AIP69"/>
      <c r="AIQ69"/>
      <c r="AIR69"/>
      <c r="AIS69"/>
      <c r="AIT69"/>
      <c r="AIU69"/>
      <c r="AIV69"/>
      <c r="AIW69"/>
      <c r="AIX69"/>
      <c r="AIY69"/>
      <c r="AIZ69"/>
      <c r="AJA69"/>
      <c r="AJB69"/>
      <c r="AJC69"/>
      <c r="AJD69"/>
      <c r="AJE69"/>
      <c r="AJF69"/>
      <c r="AJG69"/>
      <c r="AJH69"/>
      <c r="AJI69"/>
      <c r="AJJ69"/>
      <c r="AJK69"/>
      <c r="AJL69"/>
      <c r="AJM69"/>
      <c r="AJN69"/>
      <c r="AJO69"/>
      <c r="AJP69"/>
      <c r="AJQ69"/>
      <c r="AJR69"/>
      <c r="AJS69"/>
      <c r="AJT69"/>
      <c r="AJU69"/>
      <c r="AJV69"/>
      <c r="AJW69"/>
      <c r="AJX69"/>
      <c r="AJY69"/>
      <c r="AJZ69"/>
      <c r="AKA69"/>
      <c r="AKB69"/>
      <c r="AKC69"/>
      <c r="AKD69"/>
      <c r="AKE69"/>
      <c r="AKF69"/>
      <c r="AKG69"/>
      <c r="AKH69"/>
      <c r="AKI69"/>
      <c r="AKJ69"/>
      <c r="AKK69"/>
      <c r="AKL69"/>
      <c r="AKM69"/>
      <c r="AKN69"/>
      <c r="AKO69"/>
      <c r="AKP69"/>
      <c r="AKQ69"/>
      <c r="AKR69"/>
      <c r="AKS69"/>
      <c r="AKT69"/>
      <c r="AKU69"/>
      <c r="AKV69"/>
      <c r="AKW69"/>
      <c r="AKX69"/>
      <c r="AKY69"/>
      <c r="AKZ69"/>
      <c r="ALA69"/>
      <c r="ALB69"/>
      <c r="ALC69"/>
      <c r="ALD69"/>
      <c r="ALE69"/>
      <c r="ALF69"/>
      <c r="ALG69"/>
      <c r="ALH69"/>
      <c r="ALI69"/>
      <c r="ALJ69"/>
      <c r="ALK69"/>
      <c r="ALL69"/>
      <c r="ALM69"/>
      <c r="ALN69"/>
      <c r="ALO69"/>
      <c r="ALP69"/>
      <c r="ALQ69"/>
      <c r="ALR69"/>
      <c r="ALS69"/>
      <c r="ALT69"/>
      <c r="ALU69"/>
      <c r="ALV69"/>
      <c r="ALW69"/>
      <c r="ALX69"/>
      <c r="ALY69"/>
      <c r="ALZ69"/>
      <c r="AMA69"/>
      <c r="AMB69"/>
      <c r="AMC69"/>
      <c r="AMD69"/>
      <c r="AME69"/>
      <c r="AMF69"/>
      <c r="AMG69"/>
      <c r="AMH69"/>
      <c r="AMI69"/>
      <c r="AMJ69"/>
    </row>
    <row r="70" spans="1:1024" ht="15.75" x14ac:dyDescent="0.3">
      <c r="A70" s="4" t="s">
        <v>1</v>
      </c>
      <c r="B70" s="2">
        <f t="shared" si="8"/>
        <v>9</v>
      </c>
      <c r="C70" s="15"/>
      <c r="E70" s="15">
        <f>IF(D67=0,0,D70/D67)</f>
        <v>0</v>
      </c>
      <c r="F70" s="2">
        <v>1</v>
      </c>
      <c r="G70" s="15">
        <f>IF(F67=0,0,F70/F67)</f>
        <v>0.2</v>
      </c>
      <c r="I70" s="15">
        <f>IF(H67=0,0,H70/H67)</f>
        <v>0</v>
      </c>
      <c r="J70" s="2">
        <v>0</v>
      </c>
      <c r="K70" s="15">
        <f>IF(J67=0,0,J70/J67)</f>
        <v>0</v>
      </c>
      <c r="L70" s="2">
        <v>0</v>
      </c>
      <c r="M70" s="15">
        <f>IF(L67=0,0,L70/L67)</f>
        <v>0</v>
      </c>
      <c r="O70" s="15">
        <f>IF(N67=0,0,N70/N67)</f>
        <v>0</v>
      </c>
      <c r="Q70" s="15">
        <f>IF(P67=0,0,P70/P67)</f>
        <v>0</v>
      </c>
      <c r="S70" s="15">
        <f>IF(R67=0,0,R70/R67)</f>
        <v>0</v>
      </c>
      <c r="T70" s="2">
        <v>1</v>
      </c>
      <c r="U70" s="15">
        <f>IF(T67=0,0,T70/T67)</f>
        <v>0.16666666666666666</v>
      </c>
      <c r="W70" s="15">
        <f>IF(V67=0,0,V70/V67)</f>
        <v>0</v>
      </c>
      <c r="Y70" s="15">
        <f>IF(X67=0,0,X70/X67)</f>
        <v>0</v>
      </c>
      <c r="AA70" s="15">
        <f>IF(Z67=0,0,Z70/Z67)</f>
        <v>0</v>
      </c>
      <c r="AC70" s="15">
        <f>IF(AB67=0,0,AB70/AB67)</f>
        <v>0</v>
      </c>
      <c r="AE70" s="15">
        <f>IF(AD67=0,0,AD70/AD67)</f>
        <v>0</v>
      </c>
      <c r="AF70" s="2">
        <v>1</v>
      </c>
      <c r="AG70" s="15">
        <f>IF(AF67=0,0,AF70/AF67)</f>
        <v>0.1111111111111111</v>
      </c>
      <c r="AI70" s="15">
        <f>IF(AH67=0,0,AH70/AH67)</f>
        <v>0</v>
      </c>
      <c r="AK70" s="15">
        <f>IF(AJ67=0,0,AJ70/AJ67)</f>
        <v>0</v>
      </c>
      <c r="AL70" s="2">
        <v>0</v>
      </c>
      <c r="AM70" s="15">
        <f>IF(AL67=0,0,AL70/AL67)</f>
        <v>0</v>
      </c>
      <c r="AN70" s="2">
        <v>1</v>
      </c>
      <c r="AO70" s="15">
        <f>IF(AN67=0,0,AN70/AN67)</f>
        <v>0.16666666666666666</v>
      </c>
      <c r="AP70" s="2">
        <v>1</v>
      </c>
      <c r="AQ70" s="15">
        <f>IF(AP67=0,0,AP70/AP67)</f>
        <v>0.1</v>
      </c>
      <c r="AS70" s="15">
        <f>IF(AR67=0,0,AR70/AR67)</f>
        <v>0</v>
      </c>
      <c r="AU70" s="15">
        <f>IF(AT67=0,0,AT70/AT67)</f>
        <v>0</v>
      </c>
      <c r="AW70" s="15">
        <f>IF(AV67=0,0,AV70/AV67)</f>
        <v>0</v>
      </c>
      <c r="AY70" s="15">
        <f>IF(AX67=0,0,AX70/AX67)</f>
        <v>0</v>
      </c>
      <c r="BA70" s="15">
        <f>IF(AZ67=0,0,AZ70/AZ67)</f>
        <v>0</v>
      </c>
      <c r="BC70" s="15">
        <f>IF(BB67=0,0,BB70/BB67)</f>
        <v>0</v>
      </c>
      <c r="BD70" s="9" t="s">
        <v>53</v>
      </c>
      <c r="BE70" s="9" t="s">
        <v>44</v>
      </c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</row>
    <row r="71" spans="1:1024" x14ac:dyDescent="0.25">
      <c r="A71" s="2" t="s">
        <v>3</v>
      </c>
      <c r="B71" s="2">
        <f t="shared" si="8"/>
        <v>7</v>
      </c>
      <c r="C71" s="15">
        <f t="shared" ref="C71:C80" si="9">E71+G71+I71+K71+M71+O71+Q71+S71+U71+W71+Y71+AA71+AC71+AE71+AG71+AI71+AK71+AM71+AO71+AQ71+AS71+AU71+AW71+AY71+BA71+BC71</f>
        <v>1.1333333333333333</v>
      </c>
      <c r="D71" s="2">
        <v>2</v>
      </c>
      <c r="E71" s="15">
        <f>IF(D67=0,0,D71/D67)</f>
        <v>0.22222222222222221</v>
      </c>
      <c r="F71" s="2">
        <v>1</v>
      </c>
      <c r="G71" s="15">
        <f>IF(F67=0,0,F71/F67)</f>
        <v>0.2</v>
      </c>
      <c r="I71" s="15">
        <f>IF(H67=0,0,H71/H67)</f>
        <v>0</v>
      </c>
      <c r="K71" s="15">
        <f>IF(J67=0,0,J71/J67)</f>
        <v>0</v>
      </c>
      <c r="M71" s="15">
        <f>IF(L67=0,0,L71/L67)</f>
        <v>0</v>
      </c>
      <c r="O71" s="15">
        <f>IF(N67=0,0,N71/N67)</f>
        <v>0</v>
      </c>
      <c r="Q71" s="15">
        <f>IF(P67=0,0,P71/P67)</f>
        <v>0</v>
      </c>
      <c r="S71" s="15">
        <f>IF(R67=0,0,R71/R67)</f>
        <v>0</v>
      </c>
      <c r="U71" s="15">
        <f>IF(T67=0,0,T71/T67)</f>
        <v>0</v>
      </c>
      <c r="W71" s="15">
        <f>IF(V67=0,0,V71/V67)</f>
        <v>0</v>
      </c>
      <c r="Y71" s="15">
        <f>IF(X67=0,0,X71/X67)</f>
        <v>0</v>
      </c>
      <c r="AA71" s="15">
        <f>IF(Z67=0,0,Z71/Z67)</f>
        <v>0</v>
      </c>
      <c r="AC71" s="15">
        <f>IF(AB67=0,0,AB71/AB67)</f>
        <v>0</v>
      </c>
      <c r="AE71" s="15">
        <f>IF(AD67=0,0,AD71/AD67)</f>
        <v>0</v>
      </c>
      <c r="AF71" s="2">
        <v>1</v>
      </c>
      <c r="AG71" s="15">
        <f>IF(AF67=0,0,AF71/AF67)</f>
        <v>0.1111111111111111</v>
      </c>
      <c r="AI71" s="15">
        <f>IF(AH67=0,0,AH71/AH67)</f>
        <v>0</v>
      </c>
      <c r="AK71" s="15">
        <f>IF(AJ67=0,0,AJ71/AJ67)</f>
        <v>0</v>
      </c>
      <c r="AL71" s="2">
        <v>1</v>
      </c>
      <c r="AM71" s="15">
        <f>IF(AL67=0,0,AL71/AL67)</f>
        <v>0.16666666666666666</v>
      </c>
      <c r="AO71" s="15">
        <f>IF(AN67=0,0,AN71/AN67)</f>
        <v>0</v>
      </c>
      <c r="AP71" s="2">
        <v>1</v>
      </c>
      <c r="AQ71" s="15">
        <f>IF(AP67=0,0,AP71/AP67)</f>
        <v>0.1</v>
      </c>
      <c r="AR71" s="2">
        <v>1</v>
      </c>
      <c r="AS71" s="15">
        <f>IF(AR67=0,0,AR71/AR67)</f>
        <v>0.33333333333333331</v>
      </c>
      <c r="AU71" s="15">
        <f>IF(AT67=0,0,AT71/AT67)</f>
        <v>0</v>
      </c>
      <c r="AW71" s="15">
        <f>IF(AV67=0,0,AV71/AV67)</f>
        <v>0</v>
      </c>
      <c r="AY71" s="15">
        <f>IF(AX67=0,0,AX71/AX67)</f>
        <v>0</v>
      </c>
      <c r="BA71" s="15">
        <f>IF(AZ67=0,0,AZ71/AZ67)</f>
        <v>0</v>
      </c>
      <c r="BC71" s="15">
        <f>IF(BB67=0,0,BB71/BB67)</f>
        <v>0</v>
      </c>
      <c r="BD71" s="9" t="s">
        <v>54</v>
      </c>
      <c r="BE71" s="9" t="s">
        <v>45</v>
      </c>
      <c r="BF71" s="9" t="s">
        <v>47</v>
      </c>
      <c r="BG71" s="9" t="s">
        <v>44</v>
      </c>
      <c r="BH71" s="9" t="s">
        <v>42</v>
      </c>
      <c r="BI71" s="9" t="s">
        <v>49</v>
      </c>
      <c r="BJ71" s="9" t="s">
        <v>63</v>
      </c>
      <c r="BK71" s="9" t="s">
        <v>46</v>
      </c>
      <c r="BL71" s="9" t="s">
        <v>64</v>
      </c>
      <c r="BM71" s="9" t="s">
        <v>63</v>
      </c>
      <c r="BN71" s="9"/>
      <c r="BO71" s="9"/>
      <c r="BP71" s="9"/>
      <c r="BQ71" s="9"/>
    </row>
    <row r="72" spans="1:1024" x14ac:dyDescent="0.25">
      <c r="A72" s="2" t="s">
        <v>5</v>
      </c>
      <c r="B72" s="2">
        <f t="shared" si="8"/>
        <v>7</v>
      </c>
      <c r="C72" s="15">
        <f t="shared" si="9"/>
        <v>1.288888888888889</v>
      </c>
      <c r="D72" s="2">
        <v>2</v>
      </c>
      <c r="E72" s="15">
        <f>IF(D67=0,0,D72/D67)</f>
        <v>0.22222222222222221</v>
      </c>
      <c r="F72" s="2">
        <v>1</v>
      </c>
      <c r="G72" s="15">
        <f>IF(F67=0,0,F72/F67)</f>
        <v>0.2</v>
      </c>
      <c r="I72" s="15">
        <f>IF(H67=0,0,H72/H67)</f>
        <v>0</v>
      </c>
      <c r="K72" s="15">
        <f>IF(J67=0,0,J72/J67)</f>
        <v>0</v>
      </c>
      <c r="M72" s="15">
        <f>IF(L67=0,0,L72/L67)</f>
        <v>0</v>
      </c>
      <c r="O72" s="15">
        <f>IF(N67=0,0,N72/N67)</f>
        <v>0</v>
      </c>
      <c r="Q72" s="15">
        <f>IF(P67=0,0,P72/P67)</f>
        <v>0</v>
      </c>
      <c r="R72" s="2">
        <v>1</v>
      </c>
      <c r="S72" s="15">
        <f>IF(R67=0,0,R72/R67)</f>
        <v>0.5</v>
      </c>
      <c r="T72" s="2">
        <v>1</v>
      </c>
      <c r="U72" s="15">
        <f>IF(T67=0,0,T72/T67)</f>
        <v>0.16666666666666666</v>
      </c>
      <c r="W72" s="15">
        <f>IF(V67=0,0,V72/V67)</f>
        <v>0</v>
      </c>
      <c r="Y72" s="15">
        <f>IF(X67=0,0,X72/X67)</f>
        <v>0</v>
      </c>
      <c r="AA72" s="15">
        <f>IF(Z67=0,0,Z72/Z67)</f>
        <v>0</v>
      </c>
      <c r="AC72" s="15">
        <f>IF(AB67=0,0,AB72/AB67)</f>
        <v>0</v>
      </c>
      <c r="AE72" s="15">
        <f>IF(AD67=0,0,AD72/AD67)</f>
        <v>0</v>
      </c>
      <c r="AG72" s="15">
        <f>IF(AF67=0,0,AF72/AF67)</f>
        <v>0</v>
      </c>
      <c r="AI72" s="15">
        <f>IF(AH67=0,0,AH72/AH67)</f>
        <v>0</v>
      </c>
      <c r="AK72" s="15">
        <f>IF(AJ67=0,0,AJ72/AJ67)</f>
        <v>0</v>
      </c>
      <c r="AM72" s="15">
        <f>IF(AL67=0,0,AL72/AL67)</f>
        <v>0</v>
      </c>
      <c r="AO72" s="15">
        <f>IF(AN67=0,0,AN72/AN67)</f>
        <v>0</v>
      </c>
      <c r="AP72" s="2">
        <v>2</v>
      </c>
      <c r="AQ72" s="15">
        <f>IF(AP67=0,0,AP72/AP67)</f>
        <v>0.2</v>
      </c>
      <c r="AS72" s="15">
        <f>IF(AR67=0,0,AR72/AR67)</f>
        <v>0</v>
      </c>
      <c r="AU72" s="15">
        <f>IF(AT67=0,0,AT72/AT67)</f>
        <v>0</v>
      </c>
      <c r="AW72" s="15">
        <f>IF(AV67=0,0,AV72/AV67)</f>
        <v>0</v>
      </c>
      <c r="AY72" s="15">
        <f>IF(AX67=0,0,AX72/AX67)</f>
        <v>0</v>
      </c>
      <c r="BA72" s="15">
        <f>IF(AZ67=0,0,AZ72/AZ67)</f>
        <v>0</v>
      </c>
      <c r="BC72" s="15">
        <f>IF(BB67=0,0,BB72/BB67)</f>
        <v>0</v>
      </c>
      <c r="BD72" s="9" t="s">
        <v>55</v>
      </c>
      <c r="BE72" s="9" t="s">
        <v>46</v>
      </c>
      <c r="BF72" s="9"/>
      <c r="BG72" s="9"/>
      <c r="BH72" s="9"/>
      <c r="BI72" s="9"/>
      <c r="BJ72" s="9"/>
      <c r="BK72" s="9"/>
      <c r="BL72" s="9" t="s">
        <v>42</v>
      </c>
      <c r="BM72" s="9"/>
      <c r="BN72" s="9"/>
      <c r="BO72" s="9"/>
      <c r="BP72" s="9"/>
      <c r="BQ72" s="9"/>
    </row>
    <row r="73" spans="1:1024" x14ac:dyDescent="0.25">
      <c r="A73" s="2" t="s">
        <v>4</v>
      </c>
      <c r="B73" s="2">
        <f t="shared" si="8"/>
        <v>7</v>
      </c>
      <c r="C73" s="15">
        <f t="shared" si="9"/>
        <v>1.3333333333333333</v>
      </c>
      <c r="D73" s="2">
        <v>1</v>
      </c>
      <c r="E73" s="15">
        <f>IF(D67=0,0,D73/D67)</f>
        <v>0.1111111111111111</v>
      </c>
      <c r="G73" s="15">
        <f>IF(F67=0,0,F73/F67)</f>
        <v>0</v>
      </c>
      <c r="I73" s="15">
        <f>IF(H67=0,0,H73/H67)</f>
        <v>0</v>
      </c>
      <c r="K73" s="15">
        <f>IF(J67=0,0,J73/J67)</f>
        <v>0</v>
      </c>
      <c r="M73" s="15">
        <f>IF(L67=0,0,L73/L67)</f>
        <v>0</v>
      </c>
      <c r="O73" s="15">
        <f>IF(N67=0,0,N73/N67)</f>
        <v>0</v>
      </c>
      <c r="Q73" s="15">
        <f>IF(P67=0,0,P73/P67)</f>
        <v>0</v>
      </c>
      <c r="R73" s="2">
        <v>1</v>
      </c>
      <c r="S73" s="15">
        <f>IF(R67=0,0,R73/R67)</f>
        <v>0.5</v>
      </c>
      <c r="T73" s="2">
        <v>1</v>
      </c>
      <c r="U73" s="15">
        <f>IF(T67=0,0,T73/T67)</f>
        <v>0.16666666666666666</v>
      </c>
      <c r="W73" s="15">
        <f>IF(V67=0,0,V73/V67)</f>
        <v>0</v>
      </c>
      <c r="Y73" s="15">
        <f>IF(X67=0,0,X73/X67)</f>
        <v>0</v>
      </c>
      <c r="AA73" s="15">
        <f>IF(Z67=0,0,Z73/Z67)</f>
        <v>0</v>
      </c>
      <c r="AC73" s="15">
        <f>IF(AB67=0,0,AB73/AB67)</f>
        <v>0</v>
      </c>
      <c r="AE73" s="15">
        <f>IF(AD67=0,0,AD73/AD67)</f>
        <v>0</v>
      </c>
      <c r="AF73" s="2">
        <v>2</v>
      </c>
      <c r="AG73" s="15">
        <f>IF(AF67=0,0,AF73/AF67)</f>
        <v>0.22222222222222221</v>
      </c>
      <c r="AI73" s="15">
        <f>IF(AH67=0,0,AH73/AH67)</f>
        <v>0</v>
      </c>
      <c r="AK73" s="15">
        <f>IF(AJ67=0,0,AJ73/AJ67)</f>
        <v>0</v>
      </c>
      <c r="AL73" s="2">
        <v>2</v>
      </c>
      <c r="AM73" s="15">
        <f>IF(AL67=0,0,AL73/AL67)</f>
        <v>0.33333333333333331</v>
      </c>
      <c r="AO73" s="15">
        <f>IF(AN67=0,0,AN73/AN67)</f>
        <v>0</v>
      </c>
      <c r="AQ73" s="15">
        <f>IF(AP67=0,0,AP73/AP67)</f>
        <v>0</v>
      </c>
      <c r="AS73" s="15">
        <f>IF(AR67=0,0,AR73/AR67)</f>
        <v>0</v>
      </c>
      <c r="AU73" s="15">
        <f>IF(AT67=0,0,AT73/AT67)</f>
        <v>0</v>
      </c>
      <c r="AW73" s="15">
        <f>IF(AV67=0,0,AV73/AV67)</f>
        <v>0</v>
      </c>
      <c r="AY73" s="15">
        <f>IF(AX67=0,0,AX73/AX67)</f>
        <v>0</v>
      </c>
      <c r="BA73" s="15">
        <f>IF(AZ67=0,0,AZ73/AZ67)</f>
        <v>0</v>
      </c>
      <c r="BC73" s="15">
        <f>IF(BB67=0,0,BB73/BB67)</f>
        <v>0</v>
      </c>
      <c r="BD73" s="9" t="s">
        <v>56</v>
      </c>
      <c r="BE73" s="9" t="s">
        <v>45</v>
      </c>
      <c r="BF73" s="9"/>
      <c r="BG73" s="9"/>
      <c r="BH73" s="9"/>
      <c r="BI73" s="9"/>
      <c r="BJ73" s="9"/>
      <c r="BK73" s="9"/>
      <c r="BL73" s="9" t="s">
        <v>47</v>
      </c>
      <c r="BM73" s="9"/>
      <c r="BN73" s="9"/>
      <c r="BO73" s="9"/>
      <c r="BP73" s="9"/>
      <c r="BQ73" s="9"/>
    </row>
    <row r="74" spans="1:1024" x14ac:dyDescent="0.25">
      <c r="A74" s="2" t="s">
        <v>7</v>
      </c>
      <c r="B74" s="2">
        <f t="shared" si="8"/>
        <v>7</v>
      </c>
      <c r="C74" s="15">
        <f t="shared" si="9"/>
        <v>2.0555555555555554</v>
      </c>
      <c r="E74" s="15">
        <f>IF(D67=0,0,D74/D67)</f>
        <v>0</v>
      </c>
      <c r="G74" s="15">
        <f>IF(F67=0,0,F74/F67)</f>
        <v>0</v>
      </c>
      <c r="H74" s="2">
        <v>1</v>
      </c>
      <c r="I74" s="15">
        <f>IF(H67=0,0,H74/H67)</f>
        <v>0.33333333333333331</v>
      </c>
      <c r="K74" s="15">
        <f>IF(J67=0,0,J74/J67)</f>
        <v>0</v>
      </c>
      <c r="M74" s="15">
        <f>IF(L67=0,0,L74/L67)</f>
        <v>0</v>
      </c>
      <c r="O74" s="15">
        <f>IF(N67=0,0,N74/N67)</f>
        <v>0</v>
      </c>
      <c r="Q74" s="15">
        <f>IF(P67=0,0,P74/P67)</f>
        <v>0</v>
      </c>
      <c r="S74" s="15">
        <f>IF(R67=0,0,R74/R67)</f>
        <v>0</v>
      </c>
      <c r="U74" s="15">
        <f>IF(T67=0,0,T74/T67)</f>
        <v>0</v>
      </c>
      <c r="W74" s="15">
        <f>IF(V67=0,0,V74/V67)</f>
        <v>0</v>
      </c>
      <c r="Y74" s="15">
        <f>IF(X67=0,0,X74/X67)</f>
        <v>0</v>
      </c>
      <c r="Z74" s="2">
        <v>1</v>
      </c>
      <c r="AA74" s="15">
        <f>IF(Z67=0,0,Z74/Z67)</f>
        <v>0.5</v>
      </c>
      <c r="AB74" s="2">
        <v>1</v>
      </c>
      <c r="AC74" s="15">
        <f>IF(AB67=0,0,AB74/AB67)</f>
        <v>0.5</v>
      </c>
      <c r="AE74" s="15">
        <f>IF(AD67=0,0,AD74/AD67)</f>
        <v>0</v>
      </c>
      <c r="AF74" s="2">
        <v>2</v>
      </c>
      <c r="AG74" s="15">
        <f>IF(AF67=0,0,AF74/AF67)</f>
        <v>0.22222222222222221</v>
      </c>
      <c r="AI74" s="15">
        <f>IF(AH67=0,0,AH74/AH67)</f>
        <v>0</v>
      </c>
      <c r="AK74" s="15">
        <f>IF(AJ67=0,0,AJ74/AJ67)</f>
        <v>0</v>
      </c>
      <c r="AM74" s="15">
        <f>IF(AL67=0,0,AL74/AL67)</f>
        <v>0</v>
      </c>
      <c r="AN74" s="2">
        <v>1</v>
      </c>
      <c r="AO74" s="15">
        <f>IF(AN67=0,0,AN74/AN67)</f>
        <v>0.16666666666666666</v>
      </c>
      <c r="AQ74" s="15">
        <f>IF(AP67=0,0,AP74/AP67)</f>
        <v>0</v>
      </c>
      <c r="AR74" s="2">
        <v>1</v>
      </c>
      <c r="AS74" s="15">
        <f>IF(AR67=0,0,AR74/AR67)</f>
        <v>0.33333333333333331</v>
      </c>
      <c r="AU74" s="15">
        <f>IF(AT67=0,0,AT74/AT67)</f>
        <v>0</v>
      </c>
      <c r="AW74" s="15">
        <f>IF(AV67=0,0,AV74/AV67)</f>
        <v>0</v>
      </c>
      <c r="AY74" s="15">
        <f>IF(AX67=0,0,AX74/AX67)</f>
        <v>0</v>
      </c>
      <c r="BA74" s="15">
        <f>IF(AZ67=0,0,AZ74/AZ67)</f>
        <v>0</v>
      </c>
      <c r="BC74" s="15">
        <f>IF(BB67=0,0,BB74/BB67)</f>
        <v>0</v>
      </c>
      <c r="BD74" s="9" t="s">
        <v>57</v>
      </c>
      <c r="BE74" s="9" t="s">
        <v>47</v>
      </c>
      <c r="BF74" s="9"/>
      <c r="BG74" s="9"/>
      <c r="BH74" s="9"/>
      <c r="BI74" s="9"/>
      <c r="BJ74" s="9"/>
      <c r="BK74" s="9"/>
      <c r="BL74" s="9" t="s">
        <v>65</v>
      </c>
      <c r="BM74" s="9"/>
      <c r="BN74" s="9"/>
      <c r="BO74" s="9"/>
      <c r="BP74" s="9"/>
      <c r="BQ74" s="9"/>
    </row>
    <row r="75" spans="1:1024" x14ac:dyDescent="0.25">
      <c r="A75" s="2" t="s">
        <v>6</v>
      </c>
      <c r="B75" s="2">
        <f t="shared" si="8"/>
        <v>5</v>
      </c>
      <c r="C75" s="15">
        <f t="shared" si="9"/>
        <v>0.81111111111111112</v>
      </c>
      <c r="E75" s="15">
        <f>IF(D67=0,0,D75/D67)</f>
        <v>0</v>
      </c>
      <c r="G75" s="15">
        <f>IF(F67=0,0,F75/F67)</f>
        <v>0</v>
      </c>
      <c r="I75" s="15">
        <f>IF(H67=0,0,H75/H67)</f>
        <v>0</v>
      </c>
      <c r="K75" s="15">
        <f>IF(J67=0,0,J75/J67)</f>
        <v>0</v>
      </c>
      <c r="M75" s="15">
        <f>IF(L67=0,0,L75/L67)</f>
        <v>0</v>
      </c>
      <c r="O75" s="15">
        <f>IF(N67=0,0,N75/N67)</f>
        <v>0</v>
      </c>
      <c r="Q75" s="15">
        <f>IF(P67=0,0,P75/P67)</f>
        <v>0</v>
      </c>
      <c r="S75" s="15">
        <f>IF(R67=0,0,R75/R67)</f>
        <v>0</v>
      </c>
      <c r="U75" s="15">
        <f>IF(T67=0,0,T75/T67)</f>
        <v>0</v>
      </c>
      <c r="W75" s="15">
        <f>IF(V67=0,0,V75/V67)</f>
        <v>0</v>
      </c>
      <c r="Y75" s="15">
        <f>IF(X67=0,0,X75/X67)</f>
        <v>0</v>
      </c>
      <c r="AA75" s="15">
        <f>IF(Z67=0,0,Z75/Z67)</f>
        <v>0</v>
      </c>
      <c r="AC75" s="15">
        <f>IF(AB67=0,0,AB75/AB67)</f>
        <v>0</v>
      </c>
      <c r="AE75" s="15">
        <f>IF(AD67=0,0,AD75/AD67)</f>
        <v>0</v>
      </c>
      <c r="AF75" s="2">
        <v>1</v>
      </c>
      <c r="AG75" s="15">
        <f>IF(AF67=0,0,AF75/AF67)</f>
        <v>0.1111111111111111</v>
      </c>
      <c r="AI75" s="15">
        <f>IF(AH67=0,0,AH75/AH67)</f>
        <v>0</v>
      </c>
      <c r="AK75" s="15">
        <f>IF(AJ67=0,0,AJ75/AJ67)</f>
        <v>0</v>
      </c>
      <c r="AL75" s="2">
        <v>1</v>
      </c>
      <c r="AM75" s="15">
        <f>IF(AL67=0,0,AL75/AL67)</f>
        <v>0.16666666666666666</v>
      </c>
      <c r="AO75" s="15">
        <f>IF(AN67=0,0,AN75/AN67)</f>
        <v>0</v>
      </c>
      <c r="AP75" s="2">
        <v>2</v>
      </c>
      <c r="AQ75" s="15">
        <f>IF(AP67=0,0,AP75/AP67)</f>
        <v>0.2</v>
      </c>
      <c r="AR75" s="2">
        <v>1</v>
      </c>
      <c r="AS75" s="15">
        <f>IF(AR67=0,0,AR75/AR67)</f>
        <v>0.33333333333333331</v>
      </c>
      <c r="AU75" s="15">
        <f>IF(AT67=0,0,AT75/AT67)</f>
        <v>0</v>
      </c>
      <c r="AW75" s="15">
        <f>IF(AV67=0,0,AV75/AV67)</f>
        <v>0</v>
      </c>
      <c r="AY75" s="15">
        <f>IF(AX67=0,0,AX75/AX67)</f>
        <v>0</v>
      </c>
      <c r="BA75" s="15">
        <f>IF(AZ67=0,0,AZ75/AZ67)</f>
        <v>0</v>
      </c>
      <c r="BC75" s="15">
        <f>IF(BB67=0,0,BB75/BB67)</f>
        <v>0</v>
      </c>
      <c r="BD75" s="9" t="s">
        <v>58</v>
      </c>
      <c r="BE75" s="9" t="s">
        <v>47</v>
      </c>
      <c r="BF75" s="9"/>
      <c r="BG75" s="9"/>
      <c r="BH75" s="9"/>
      <c r="BI75" s="9"/>
      <c r="BJ75" s="9"/>
      <c r="BK75" s="9"/>
      <c r="BL75" s="9" t="s">
        <v>63</v>
      </c>
      <c r="BM75" s="9"/>
      <c r="BN75" s="9"/>
      <c r="BO75" s="9"/>
      <c r="BP75" s="9"/>
      <c r="BQ75" s="9"/>
    </row>
    <row r="76" spans="1:1024" x14ac:dyDescent="0.25">
      <c r="A76" s="2" t="s">
        <v>8</v>
      </c>
      <c r="B76" s="2">
        <f t="shared" si="8"/>
        <v>5</v>
      </c>
      <c r="C76" s="15">
        <f t="shared" si="9"/>
        <v>1.2</v>
      </c>
      <c r="E76" s="15">
        <f>IF(D67=0,0,D76/D67)</f>
        <v>0</v>
      </c>
      <c r="F76" s="2">
        <v>1</v>
      </c>
      <c r="G76" s="15">
        <f>IF(F67=0,0,F76/F67)</f>
        <v>0.2</v>
      </c>
      <c r="I76" s="15">
        <f>IF(H67=0,0,H76/H67)</f>
        <v>0</v>
      </c>
      <c r="K76" s="15">
        <f>IF(J67=0,0,J76/J67)</f>
        <v>0</v>
      </c>
      <c r="L76" s="2">
        <v>2</v>
      </c>
      <c r="M76" s="15">
        <f>IF(L67=0,0,L76/L67)</f>
        <v>0.33333333333333331</v>
      </c>
      <c r="O76" s="15">
        <f>IF(N67=0,0,N76/N67)</f>
        <v>0</v>
      </c>
      <c r="Q76" s="15">
        <f>IF(P67=0,0,P76/P67)</f>
        <v>0</v>
      </c>
      <c r="S76" s="15">
        <f>IF(R67=0,0,R76/R67)</f>
        <v>0</v>
      </c>
      <c r="U76" s="15">
        <f>IF(T67=0,0,T76/T67)</f>
        <v>0</v>
      </c>
      <c r="W76" s="15">
        <f>IF(V67=0,0,V76/V67)</f>
        <v>0</v>
      </c>
      <c r="Y76" s="15">
        <f>IF(X67=0,0,X76/X67)</f>
        <v>0</v>
      </c>
      <c r="Z76" s="2">
        <v>1</v>
      </c>
      <c r="AA76" s="15">
        <f>IF(Z67=0,0,Z76/Z67)</f>
        <v>0.5</v>
      </c>
      <c r="AC76" s="15">
        <f>IF(AB67=0,0,AB76/AB67)</f>
        <v>0</v>
      </c>
      <c r="AE76" s="15">
        <f>IF(AD67=0,0,AD76/AD67)</f>
        <v>0</v>
      </c>
      <c r="AG76" s="15">
        <f>IF(AF67=0,0,AF76/AF67)</f>
        <v>0</v>
      </c>
      <c r="AI76" s="15">
        <f>IF(AH67=0,0,AH76/AH67)</f>
        <v>0</v>
      </c>
      <c r="AK76" s="15">
        <f>IF(AJ67=0,0,AJ76/AJ67)</f>
        <v>0</v>
      </c>
      <c r="AL76" s="2">
        <v>1</v>
      </c>
      <c r="AM76" s="15">
        <f>IF(AL67=0,0,AL76/AL67)</f>
        <v>0.16666666666666666</v>
      </c>
      <c r="AO76" s="15">
        <f>IF(AN67=0,0,AN76/AN67)</f>
        <v>0</v>
      </c>
      <c r="AQ76" s="15">
        <f>IF(AP67=0,0,AP76/AP67)</f>
        <v>0</v>
      </c>
      <c r="AS76" s="15">
        <f>IF(AR67=0,0,AR76/AR67)</f>
        <v>0</v>
      </c>
      <c r="AU76" s="15">
        <f>IF(AT67=0,0,AT76/AT67)</f>
        <v>0</v>
      </c>
      <c r="AW76" s="15">
        <f>IF(AV67=0,0,AV76/AV67)</f>
        <v>0</v>
      </c>
      <c r="AY76" s="15">
        <f>IF(AX67=0,0,AX76/AX67)</f>
        <v>0</v>
      </c>
      <c r="BA76" s="15">
        <f>IF(AZ67=0,0,AZ76/AZ67)</f>
        <v>0</v>
      </c>
      <c r="BC76" s="15">
        <f>IF(BB67=0,0,BB76/BB67)</f>
        <v>0</v>
      </c>
      <c r="BD76" s="9" t="s">
        <v>59</v>
      </c>
      <c r="BE76" s="9" t="s">
        <v>45</v>
      </c>
      <c r="BF76" s="9"/>
      <c r="BG76" s="9"/>
      <c r="BH76" s="9"/>
      <c r="BI76" s="9"/>
      <c r="BJ76" s="9"/>
      <c r="BK76" s="9"/>
      <c r="BL76" s="9" t="s">
        <v>44</v>
      </c>
      <c r="BM76" s="9"/>
      <c r="BN76" s="9"/>
      <c r="BO76" s="9"/>
      <c r="BP76" s="9"/>
      <c r="BQ76" s="9"/>
    </row>
    <row r="77" spans="1:1024" x14ac:dyDescent="0.25">
      <c r="A77" s="2" t="s">
        <v>10</v>
      </c>
      <c r="B77" s="2">
        <f t="shared" si="8"/>
        <v>3</v>
      </c>
      <c r="C77" s="15">
        <f t="shared" si="9"/>
        <v>0.47777777777777775</v>
      </c>
      <c r="D77" s="2">
        <v>1</v>
      </c>
      <c r="E77" s="15">
        <f>IF(D67=0,0,D77/D67)</f>
        <v>0.1111111111111111</v>
      </c>
      <c r="F77" s="2">
        <v>1</v>
      </c>
      <c r="G77" s="15">
        <f>IF(F67=0,0,F77/F67)</f>
        <v>0.2</v>
      </c>
      <c r="I77" s="15">
        <f>IF(H67=0,0,H77/H67)</f>
        <v>0</v>
      </c>
      <c r="K77" s="15">
        <f>IF(J67=0,0,J77/J67)</f>
        <v>0</v>
      </c>
      <c r="M77" s="15">
        <f>IF(L67=0,0,L77/L67)</f>
        <v>0</v>
      </c>
      <c r="O77" s="15">
        <f>IF(N67=0,0,N77/N67)</f>
        <v>0</v>
      </c>
      <c r="Q77" s="15">
        <f>IF(P67=0,0,P77/P67)</f>
        <v>0</v>
      </c>
      <c r="S77" s="15">
        <f>IF(R67=0,0,R77/R67)</f>
        <v>0</v>
      </c>
      <c r="T77" s="2">
        <v>1</v>
      </c>
      <c r="U77" s="15">
        <f>IF(T67=0,0,T77/T67)</f>
        <v>0.16666666666666666</v>
      </c>
      <c r="W77" s="15">
        <f>IF(V67=0,0,V77/V67)</f>
        <v>0</v>
      </c>
      <c r="Y77" s="15">
        <f>IF(X67=0,0,X77/X67)</f>
        <v>0</v>
      </c>
      <c r="AA77" s="15">
        <f>IF(Z67=0,0,Z77/Z67)</f>
        <v>0</v>
      </c>
      <c r="AC77" s="15">
        <f>IF(AB67=0,0,AB77/AB67)</f>
        <v>0</v>
      </c>
      <c r="AE77" s="15">
        <f>IF(AD67=0,0,AD77/AD67)</f>
        <v>0</v>
      </c>
      <c r="AG77" s="15">
        <f>IF(AF67=0,0,AF77/AF67)</f>
        <v>0</v>
      </c>
      <c r="AI77" s="15">
        <f>IF(AH67=0,0,AH77/AH67)</f>
        <v>0</v>
      </c>
      <c r="AK77" s="15">
        <f>IF(AJ67=0,0,AJ77/AJ67)</f>
        <v>0</v>
      </c>
      <c r="AM77" s="15">
        <f>IF(AL67=0,0,AL77/AL67)</f>
        <v>0</v>
      </c>
      <c r="AO77" s="15">
        <f>IF(AN67=0,0,AN77/AN67)</f>
        <v>0</v>
      </c>
      <c r="AQ77" s="15">
        <f>IF(AP67=0,0,AP77/AP67)</f>
        <v>0</v>
      </c>
      <c r="AS77" s="15">
        <f>IF(AR67=0,0,AR77/AR67)</f>
        <v>0</v>
      </c>
      <c r="AU77" s="15">
        <f>IF(AT67=0,0,AT77/AT67)</f>
        <v>0</v>
      </c>
      <c r="AW77" s="15">
        <f>IF(AV67=0,0,AV77/AV67)</f>
        <v>0</v>
      </c>
      <c r="AY77" s="15">
        <f>IF(AX67=0,0,AX77/AX67)</f>
        <v>0</v>
      </c>
      <c r="BA77" s="15">
        <f>IF(AZ67=0,0,AZ77/AZ67)</f>
        <v>0</v>
      </c>
      <c r="BC77" s="15">
        <f>IF(BB67=0,0,BB77/BB67)</f>
        <v>0</v>
      </c>
      <c r="BD77" s="9" t="s">
        <v>60</v>
      </c>
      <c r="BE77" s="9"/>
      <c r="BF77" s="9"/>
      <c r="BG77" s="9"/>
      <c r="BH77" s="9"/>
      <c r="BI77" s="9"/>
      <c r="BJ77" s="9"/>
      <c r="BK77" s="9"/>
      <c r="BL77" s="9" t="s">
        <v>45</v>
      </c>
      <c r="BM77" s="9"/>
      <c r="BN77" s="9"/>
      <c r="BO77" s="9"/>
      <c r="BP77" s="9"/>
      <c r="BQ77" s="9"/>
    </row>
    <row r="78" spans="1:1024" x14ac:dyDescent="0.25">
      <c r="A78" s="2" t="s">
        <v>12</v>
      </c>
      <c r="B78" s="2">
        <f t="shared" si="8"/>
        <v>3</v>
      </c>
      <c r="C78" s="15">
        <f t="shared" si="9"/>
        <v>0.77777777777777779</v>
      </c>
      <c r="D78" s="2">
        <v>1</v>
      </c>
      <c r="E78" s="15">
        <f>IF(D67=0,0,D78/D67)</f>
        <v>0.1111111111111111</v>
      </c>
      <c r="G78" s="15">
        <f>IF(F67=0,0,F78/F67)</f>
        <v>0</v>
      </c>
      <c r="I78" s="15">
        <f>IF(H67=0,0,H78/H67)</f>
        <v>0</v>
      </c>
      <c r="K78" s="15">
        <f>IF(J67=0,0,J78/J67)</f>
        <v>0</v>
      </c>
      <c r="M78" s="15">
        <f>IF(L67=0,0,L78/L67)</f>
        <v>0</v>
      </c>
      <c r="O78" s="15">
        <f>IF(N67=0,0,N78/N67)</f>
        <v>0</v>
      </c>
      <c r="Q78" s="15">
        <f>IF(P67=0,0,P78/P67)</f>
        <v>0</v>
      </c>
      <c r="S78" s="15">
        <f>IF(R67=0,0,R78/R67)</f>
        <v>0</v>
      </c>
      <c r="T78" s="2">
        <v>1</v>
      </c>
      <c r="U78" s="15">
        <f>IF(T67=0,0,T78/T67)</f>
        <v>0.16666666666666666</v>
      </c>
      <c r="W78" s="15">
        <f>IF(V67=0,0,V78/V67)</f>
        <v>0</v>
      </c>
      <c r="Y78" s="15">
        <f>IF(X67=0,0,X78/X67)</f>
        <v>0</v>
      </c>
      <c r="AA78" s="15">
        <f>IF(Z67=0,0,Z78/Z67)</f>
        <v>0</v>
      </c>
      <c r="AB78" s="2">
        <v>1</v>
      </c>
      <c r="AC78" s="15">
        <f>IF(AB67=0,0,AB78/AB67)</f>
        <v>0.5</v>
      </c>
      <c r="AE78" s="15">
        <f>IF(AD67=0,0,AD78/AD67)</f>
        <v>0</v>
      </c>
      <c r="AG78" s="15">
        <f>IF(AF67=0,0,AF78/AF67)</f>
        <v>0</v>
      </c>
      <c r="AI78" s="15">
        <f>IF(AH67=0,0,AH78/AH67)</f>
        <v>0</v>
      </c>
      <c r="AK78" s="15">
        <f>IF(AJ67=0,0,AJ78/AJ67)</f>
        <v>0</v>
      </c>
      <c r="AM78" s="15">
        <f>IF(AL67=0,0,AL78/AL67)</f>
        <v>0</v>
      </c>
      <c r="AO78" s="15">
        <f>IF(AN67=0,0,AN78/AN67)</f>
        <v>0</v>
      </c>
      <c r="AQ78" s="15">
        <f>IF(AP67=0,0,AP78/AP67)</f>
        <v>0</v>
      </c>
      <c r="AS78" s="15">
        <f>IF(AR67=0,0,AR78/AR67)</f>
        <v>0</v>
      </c>
      <c r="AU78" s="15">
        <f>IF(AT67=0,0,AT78/AT67)</f>
        <v>0</v>
      </c>
      <c r="AW78" s="15">
        <f>IF(AV67=0,0,AV78/AV67)</f>
        <v>0</v>
      </c>
      <c r="AY78" s="15">
        <f>IF(AX67=0,0,AX78/AX67)</f>
        <v>0</v>
      </c>
      <c r="BA78" s="15">
        <f>IF(AZ67=0,0,AZ78/AZ67)</f>
        <v>0</v>
      </c>
      <c r="BC78" s="15">
        <f>IF(BB67=0,0,BB78/BB67)</f>
        <v>0</v>
      </c>
      <c r="BD78" s="9" t="s">
        <v>61</v>
      </c>
      <c r="BE78" s="9"/>
      <c r="BF78" s="9"/>
      <c r="BG78" s="9"/>
      <c r="BH78" s="9"/>
      <c r="BI78" s="9"/>
      <c r="BJ78" s="9"/>
      <c r="BK78" s="9"/>
      <c r="BL78" s="9" t="s">
        <v>65</v>
      </c>
      <c r="BM78" s="9"/>
      <c r="BN78" s="9"/>
      <c r="BO78" s="9"/>
      <c r="BP78" s="9"/>
      <c r="BQ78" s="9"/>
    </row>
    <row r="79" spans="1:1024" x14ac:dyDescent="0.25">
      <c r="A79" s="2" t="s">
        <v>9</v>
      </c>
      <c r="B79" s="2">
        <f t="shared" si="8"/>
        <v>3</v>
      </c>
      <c r="C79" s="15">
        <f t="shared" si="9"/>
        <v>0.43333333333333335</v>
      </c>
      <c r="E79" s="15">
        <f>IF(D67=0,0,D79/D67)</f>
        <v>0</v>
      </c>
      <c r="G79" s="15">
        <f>IF(F67=0,0,F79/F67)</f>
        <v>0</v>
      </c>
      <c r="I79" s="15">
        <f>IF(H67=0,0,H79/H67)</f>
        <v>0</v>
      </c>
      <c r="K79" s="15">
        <f>IF(J67=0,0,J79/J67)</f>
        <v>0</v>
      </c>
      <c r="L79" s="2">
        <v>1</v>
      </c>
      <c r="M79" s="15">
        <f>IF(L67=0,0,L79/L67)</f>
        <v>0.16666666666666666</v>
      </c>
      <c r="O79" s="15">
        <f>IF(N67=0,0,N79/N67)</f>
        <v>0</v>
      </c>
      <c r="Q79" s="15">
        <f>IF(P67=0,0,P79/P67)</f>
        <v>0</v>
      </c>
      <c r="S79" s="15">
        <f>IF(R67=0,0,R79/R67)</f>
        <v>0</v>
      </c>
      <c r="U79" s="15">
        <f>IF(T67=0,0,T79/T67)</f>
        <v>0</v>
      </c>
      <c r="W79" s="15">
        <f>IF(V67=0,0,V79/V67)</f>
        <v>0</v>
      </c>
      <c r="Y79" s="15">
        <f>IF(X67=0,0,X79/X67)</f>
        <v>0</v>
      </c>
      <c r="AA79" s="15">
        <f>IF(Z67=0,0,Z79/Z67)</f>
        <v>0</v>
      </c>
      <c r="AC79" s="15">
        <f>IF(AB67=0,0,AB79/AB67)</f>
        <v>0</v>
      </c>
      <c r="AE79" s="15">
        <f>IF(AD67=0,0,AD79/AD67)</f>
        <v>0</v>
      </c>
      <c r="AG79" s="15">
        <f>IF(AF67=0,0,AF79/AF67)</f>
        <v>0</v>
      </c>
      <c r="AI79" s="15">
        <f>IF(AH67=0,0,AH79/AH67)</f>
        <v>0</v>
      </c>
      <c r="AK79" s="15">
        <f>IF(AJ67=0,0,AJ79/AJ67)</f>
        <v>0</v>
      </c>
      <c r="AM79" s="15">
        <f>IF(AL67=0,0,AL79/AL67)</f>
        <v>0</v>
      </c>
      <c r="AN79" s="2">
        <v>1</v>
      </c>
      <c r="AO79" s="15">
        <f>IF(AN67=0,0,AN79/AN67)</f>
        <v>0.16666666666666666</v>
      </c>
      <c r="AP79" s="2">
        <v>1</v>
      </c>
      <c r="AQ79" s="15">
        <f>IF(AP67=0,0,AP79/AP67)</f>
        <v>0.1</v>
      </c>
      <c r="AS79" s="15">
        <f>IF(AR67=0,0,AR79/AR67)</f>
        <v>0</v>
      </c>
      <c r="AU79" s="15">
        <f>IF(AT67=0,0,AT79/AT67)</f>
        <v>0</v>
      </c>
      <c r="AW79" s="15">
        <f>IF(AV67=0,0,AV79/AV67)</f>
        <v>0</v>
      </c>
      <c r="AY79" s="15">
        <f>IF(AX67=0,0,AX79/AX67)</f>
        <v>0</v>
      </c>
      <c r="BA79" s="15">
        <f>IF(AZ67=0,0,AZ79/AZ67)</f>
        <v>0</v>
      </c>
      <c r="BC79" s="15">
        <f>IF(BB67=0,0,BB79/BB67)</f>
        <v>0</v>
      </c>
      <c r="BD79" s="9" t="s">
        <v>62</v>
      </c>
      <c r="BE79" s="9"/>
      <c r="BF79" s="9"/>
      <c r="BG79" s="9"/>
      <c r="BH79" s="9"/>
      <c r="BI79" s="9"/>
      <c r="BJ79" s="9"/>
      <c r="BK79" s="9"/>
      <c r="BL79" s="9" t="s">
        <v>48</v>
      </c>
      <c r="BM79" s="9"/>
      <c r="BN79" s="9"/>
      <c r="BO79" s="9"/>
      <c r="BP79" s="9"/>
      <c r="BQ79" s="9"/>
    </row>
    <row r="80" spans="1:1024" x14ac:dyDescent="0.25">
      <c r="A80" s="2" t="s">
        <v>11</v>
      </c>
      <c r="B80" s="2">
        <f t="shared" si="8"/>
        <v>3</v>
      </c>
      <c r="C80" s="15">
        <f t="shared" si="9"/>
        <v>1.2777777777777779</v>
      </c>
      <c r="E80" s="15">
        <f>IF(D67=0,0,D80/D67)</f>
        <v>0</v>
      </c>
      <c r="G80" s="15">
        <f>IF(F67=0,0,F80/F67)</f>
        <v>0</v>
      </c>
      <c r="I80" s="15">
        <f>IF(H67=0,0,H80/H67)</f>
        <v>0</v>
      </c>
      <c r="K80" s="15">
        <f>IF(J67=0,0,J80/J67)</f>
        <v>0</v>
      </c>
      <c r="M80" s="15">
        <f>IF(L67=0,0,L80/L67)</f>
        <v>0</v>
      </c>
      <c r="O80" s="15">
        <f>IF(N67=0,0,N80/N67)</f>
        <v>0</v>
      </c>
      <c r="Q80" s="15">
        <f>IF(P67=0,0,P80/P67)</f>
        <v>0</v>
      </c>
      <c r="S80" s="15">
        <f>IF(R67=0,0,R80/R67)</f>
        <v>0</v>
      </c>
      <c r="U80" s="15">
        <f>IF(T67=0,0,T80/T67)</f>
        <v>0</v>
      </c>
      <c r="W80" s="15">
        <f>IF(V67=0,0,V80/V67)</f>
        <v>0</v>
      </c>
      <c r="Y80" s="15">
        <f>IF(X67=0,0,X80/X67)</f>
        <v>0</v>
      </c>
      <c r="AA80" s="15">
        <f>IF(Z67=0,0,Z80/Z67)</f>
        <v>0</v>
      </c>
      <c r="AC80" s="15">
        <f>IF(AB67=0,0,AB80/AB67)</f>
        <v>0</v>
      </c>
      <c r="AE80" s="15">
        <f>IF(AD67=0,0,AD80/AD67)</f>
        <v>0</v>
      </c>
      <c r="AF80" s="2">
        <v>1</v>
      </c>
      <c r="AG80" s="15">
        <f>IF(AF67=0,0,AF80/AF67)</f>
        <v>0.1111111111111111</v>
      </c>
      <c r="AH80" s="2">
        <v>1</v>
      </c>
      <c r="AI80" s="15">
        <f>IF(AH67=0,0,AH80/AH67)</f>
        <v>1</v>
      </c>
      <c r="AK80" s="15">
        <f>IF(AJ67=0,0,AJ80/AJ67)</f>
        <v>0</v>
      </c>
      <c r="AM80" s="15">
        <f>IF(AL67=0,0,AL80/AL67)</f>
        <v>0</v>
      </c>
      <c r="AN80" s="2">
        <v>1</v>
      </c>
      <c r="AO80" s="15">
        <f>IF(AN67=0,0,AN80/AN67)</f>
        <v>0.16666666666666666</v>
      </c>
      <c r="AQ80" s="15">
        <f>IF(AP67=0,0,AP80/AP67)</f>
        <v>0</v>
      </c>
      <c r="AS80" s="15">
        <f>IF(AR67=0,0,AR80/AR67)</f>
        <v>0</v>
      </c>
      <c r="AU80" s="15">
        <f>IF(AT67=0,0,AT80/AT67)</f>
        <v>0</v>
      </c>
      <c r="AW80" s="15">
        <f>IF(AV67=0,0,AV80/AV67)</f>
        <v>0</v>
      </c>
      <c r="AY80" s="15">
        <f>IF(AX67=0,0,AX80/AX67)</f>
        <v>0</v>
      </c>
      <c r="BA80" s="15">
        <f>IF(AZ67=0,0,AZ80/AZ67)</f>
        <v>0</v>
      </c>
      <c r="BC80" s="15">
        <f>IF(BB67=0,0,BB80/BB67)</f>
        <v>0</v>
      </c>
    </row>
    <row r="82" spans="1:69" ht="15.75" x14ac:dyDescent="0.3">
      <c r="D82" s="1" t="s">
        <v>14</v>
      </c>
      <c r="E82" s="1"/>
      <c r="F82" s="1" t="s">
        <v>15</v>
      </c>
      <c r="G82" s="1"/>
      <c r="H82" s="1" t="s">
        <v>16</v>
      </c>
      <c r="I82" s="1"/>
      <c r="J82" s="1" t="s">
        <v>17</v>
      </c>
      <c r="K82" s="1"/>
      <c r="L82" s="1" t="s">
        <v>18</v>
      </c>
      <c r="M82" s="1"/>
      <c r="N82" s="1" t="s">
        <v>19</v>
      </c>
      <c r="O82" s="1"/>
      <c r="P82" s="1" t="s">
        <v>20</v>
      </c>
      <c r="Q82" s="1"/>
      <c r="R82" s="1" t="s">
        <v>21</v>
      </c>
      <c r="S82" s="1"/>
      <c r="T82" s="1" t="s">
        <v>22</v>
      </c>
      <c r="U82" s="1"/>
      <c r="V82" s="1" t="s">
        <v>23</v>
      </c>
      <c r="W82" s="1"/>
      <c r="X82" s="1" t="s">
        <v>24</v>
      </c>
      <c r="Y82" s="1"/>
      <c r="Z82" s="1" t="s">
        <v>25</v>
      </c>
      <c r="AA82" s="1"/>
      <c r="AB82" s="1" t="s">
        <v>26</v>
      </c>
      <c r="AC82" s="1"/>
      <c r="AD82" s="1" t="s">
        <v>27</v>
      </c>
      <c r="AE82" s="1"/>
      <c r="AF82" s="1" t="s">
        <v>28</v>
      </c>
      <c r="AG82" s="1"/>
      <c r="AH82" s="1" t="s">
        <v>29</v>
      </c>
      <c r="AI82" s="1"/>
      <c r="AJ82" s="1" t="s">
        <v>30</v>
      </c>
      <c r="AK82" s="1"/>
      <c r="AL82" s="1" t="s">
        <v>31</v>
      </c>
      <c r="AM82" s="1"/>
      <c r="AN82" s="1" t="s">
        <v>32</v>
      </c>
      <c r="AO82" s="1"/>
      <c r="AP82" s="1" t="s">
        <v>33</v>
      </c>
      <c r="AQ82" s="1"/>
      <c r="AR82" s="1" t="s">
        <v>34</v>
      </c>
      <c r="AS82" s="1"/>
      <c r="AT82" s="1" t="s">
        <v>35</v>
      </c>
      <c r="AU82" s="1"/>
      <c r="AV82" s="1" t="s">
        <v>36</v>
      </c>
      <c r="AW82" s="1"/>
      <c r="AX82" s="1" t="s">
        <v>37</v>
      </c>
      <c r="AY82" s="1"/>
      <c r="AZ82" s="1" t="s">
        <v>38</v>
      </c>
      <c r="BA82" s="1"/>
      <c r="BB82" s="1" t="s">
        <v>39</v>
      </c>
      <c r="BC82" s="1"/>
    </row>
    <row r="83" spans="1:69" ht="15.75" x14ac:dyDescent="0.3">
      <c r="D83" s="17">
        <f>SUM(D84:D97)</f>
        <v>8</v>
      </c>
      <c r="E83" s="18"/>
      <c r="F83" s="17">
        <f>SUM(F84:F97)</f>
        <v>5</v>
      </c>
      <c r="G83" s="17"/>
      <c r="H83" s="17">
        <f>SUM(H84:H97)</f>
        <v>3</v>
      </c>
      <c r="I83" s="17"/>
      <c r="J83" s="17">
        <f>SUM(J84:J97)</f>
        <v>0</v>
      </c>
      <c r="K83" s="17"/>
      <c r="L83" s="17">
        <f>SUM(L84:L97)</f>
        <v>5</v>
      </c>
      <c r="M83" s="17"/>
      <c r="N83" s="17">
        <f>SUM(N84:N97)</f>
        <v>0</v>
      </c>
      <c r="O83" s="17"/>
      <c r="P83" s="17">
        <f>SUM(P84:P97)</f>
        <v>0</v>
      </c>
      <c r="Q83" s="17"/>
      <c r="R83" s="17">
        <f>SUM(R84:R97)</f>
        <v>2</v>
      </c>
      <c r="S83" s="17"/>
      <c r="T83" s="17">
        <f>SUM(T84:T97)</f>
        <v>5</v>
      </c>
      <c r="U83" s="17"/>
      <c r="V83" s="17">
        <f>SUM(V84:V97)</f>
        <v>0</v>
      </c>
      <c r="W83" s="17"/>
      <c r="X83" s="17">
        <f>SUM(X84:X97)</f>
        <v>0</v>
      </c>
      <c r="Y83" s="17"/>
      <c r="Z83" s="17">
        <f>SUM(Z84:Z97)</f>
        <v>2</v>
      </c>
      <c r="AA83" s="17"/>
      <c r="AB83" s="17">
        <f>SUM(AB84:AB97)</f>
        <v>2</v>
      </c>
      <c r="AC83" s="17"/>
      <c r="AD83" s="17">
        <f>SUM(AD84:AD97)</f>
        <v>2</v>
      </c>
      <c r="AE83" s="19"/>
      <c r="AF83" s="17">
        <f>SUM(AF84:AF97)</f>
        <v>8</v>
      </c>
      <c r="AG83" s="19"/>
      <c r="AH83" s="17">
        <f>SUM(AH84:AH97)</f>
        <v>1</v>
      </c>
      <c r="AI83" s="19"/>
      <c r="AJ83" s="17">
        <f>SUM(AJ84:AJ97)</f>
        <v>0</v>
      </c>
      <c r="AK83" s="19"/>
      <c r="AL83" s="17">
        <f>SUM(AL84:AL97)</f>
        <v>6</v>
      </c>
      <c r="AM83" s="19"/>
      <c r="AN83" s="17">
        <f>SUM(AN84:AN97)</f>
        <v>6</v>
      </c>
      <c r="AO83" s="19"/>
      <c r="AP83" s="17">
        <f>SUM(AP84:AP97)</f>
        <v>9</v>
      </c>
      <c r="AQ83" s="19"/>
      <c r="AR83" s="17">
        <f>SUM(AR84:AR97)</f>
        <v>3</v>
      </c>
      <c r="AS83" s="19"/>
      <c r="AT83" s="17">
        <f>SUM(AT84:AT97)</f>
        <v>0</v>
      </c>
      <c r="AU83" s="19"/>
      <c r="AV83" s="17">
        <f>SUM(AV84:AV97)</f>
        <v>0</v>
      </c>
      <c r="AW83" s="19"/>
      <c r="AX83" s="17">
        <f>SUM(AX84:AX97)</f>
        <v>0</v>
      </c>
      <c r="AY83" s="19"/>
      <c r="AZ83" s="17">
        <f>SUM(AZ84:AZ97)</f>
        <v>0</v>
      </c>
      <c r="BA83" s="19"/>
      <c r="BB83" s="17">
        <f>SUM(BB84:BB97)</f>
        <v>0</v>
      </c>
      <c r="BD83" s="9"/>
      <c r="BE83" s="9" t="s">
        <v>50</v>
      </c>
      <c r="BF83" s="9" t="s">
        <v>51</v>
      </c>
      <c r="BG83" s="9" t="s">
        <v>52</v>
      </c>
      <c r="BH83" s="9" t="s">
        <v>53</v>
      </c>
      <c r="BI83" s="9" t="s">
        <v>54</v>
      </c>
      <c r="BJ83" s="9" t="s">
        <v>55</v>
      </c>
      <c r="BK83" s="9" t="s">
        <v>56</v>
      </c>
      <c r="BL83" s="9" t="s">
        <v>57</v>
      </c>
      <c r="BM83" s="9" t="s">
        <v>58</v>
      </c>
      <c r="BN83" s="9" t="s">
        <v>59</v>
      </c>
      <c r="BO83" s="9" t="s">
        <v>60</v>
      </c>
      <c r="BP83" s="9" t="s">
        <v>61</v>
      </c>
      <c r="BQ83" s="9" t="s">
        <v>62</v>
      </c>
    </row>
    <row r="84" spans="1:69" ht="15.75" x14ac:dyDescent="0.3">
      <c r="A84" s="4" t="s">
        <v>0</v>
      </c>
      <c r="B84" s="2">
        <f t="shared" ref="B84:B96" si="10">LEN(A84)</f>
        <v>12</v>
      </c>
      <c r="C84" s="15"/>
      <c r="D84" s="2">
        <v>1</v>
      </c>
      <c r="E84" s="15">
        <f>IF(D83=0,0,D84/D83)</f>
        <v>0.125</v>
      </c>
      <c r="G84" s="15">
        <f>IF(F83=0,0,F84/F83)</f>
        <v>0</v>
      </c>
      <c r="I84" s="15">
        <f>IF(H83=0,0,H84/H83)</f>
        <v>0</v>
      </c>
      <c r="K84" s="15">
        <f>IF(J83=0,0,J84/J83)</f>
        <v>0</v>
      </c>
      <c r="L84" s="2">
        <v>2</v>
      </c>
      <c r="M84" s="15">
        <f>IF(L83=0,0,L84/L83)</f>
        <v>0.4</v>
      </c>
      <c r="O84" s="15">
        <f>IF(N83=0,0,N84/N83)</f>
        <v>0</v>
      </c>
      <c r="Q84" s="15">
        <f>IF(P83=0,0,P84/P83)</f>
        <v>0</v>
      </c>
      <c r="S84" s="15">
        <f>IF(R83=0,0,R84/R83)</f>
        <v>0</v>
      </c>
      <c r="T84" s="2">
        <v>1</v>
      </c>
      <c r="U84" s="15">
        <f>IF(T83=0,0,T84/T83)</f>
        <v>0.2</v>
      </c>
      <c r="W84" s="15">
        <f>IF(V83=0,0,V84/V83)</f>
        <v>0</v>
      </c>
      <c r="Y84" s="15">
        <f>IF(X83=0,0,X84/X83)</f>
        <v>0</v>
      </c>
      <c r="AA84" s="15">
        <f>IF(Z83=0,0,Z84/Z83)</f>
        <v>0</v>
      </c>
      <c r="AC84" s="15">
        <f>IF(AB83=0,0,AB84/AB83)</f>
        <v>0</v>
      </c>
      <c r="AD84" s="2">
        <v>2</v>
      </c>
      <c r="AE84" s="15">
        <f>IF(AD83=0,0,AD84/AD83)</f>
        <v>1</v>
      </c>
      <c r="AG84" s="15">
        <f>IF(AF83=0,0,AF84/AF83)</f>
        <v>0</v>
      </c>
      <c r="AI84" s="15">
        <f>IF(AH83=0,0,AH84/AH83)</f>
        <v>0</v>
      </c>
      <c r="AK84" s="15">
        <f>IF(AJ83=0,0,AJ84/AJ83)</f>
        <v>0</v>
      </c>
      <c r="AL84" s="2">
        <v>1</v>
      </c>
      <c r="AM84" s="15">
        <f>IF(AL83=0,0,AL84/AL83)</f>
        <v>0.16666666666666666</v>
      </c>
      <c r="AN84" s="2">
        <v>2</v>
      </c>
      <c r="AO84" s="15">
        <f>IF(AN83=0,0,AN84/AN83)</f>
        <v>0.33333333333333331</v>
      </c>
      <c r="AP84" s="2">
        <v>2</v>
      </c>
      <c r="AQ84" s="15">
        <f>IF(AP83=0,0,AP84/AP83)</f>
        <v>0.22222222222222221</v>
      </c>
      <c r="AS84" s="15">
        <f>IF(AR83=0,0,AR84/AR83)</f>
        <v>0</v>
      </c>
      <c r="AU84" s="15">
        <f>IF(AT83=0,0,AT84/AT83)</f>
        <v>0</v>
      </c>
      <c r="AW84" s="15">
        <f>IF(AV83=0,0,AV84/AV83)</f>
        <v>0</v>
      </c>
      <c r="AY84" s="15">
        <f>IF(AX83=0,0,AX84/AX83)</f>
        <v>0</v>
      </c>
      <c r="BA84" s="15">
        <f>IF(AZ83=0,0,AZ84/AZ83)</f>
        <v>0</v>
      </c>
      <c r="BC84" s="15">
        <f>IF(BB83=0,0,BB84/BB83)</f>
        <v>0</v>
      </c>
      <c r="BD84" s="9" t="s">
        <v>51</v>
      </c>
      <c r="BE84" s="9" t="s">
        <v>42</v>
      </c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</row>
    <row r="85" spans="1:69" ht="15.75" x14ac:dyDescent="0.3">
      <c r="A85" s="4" t="s">
        <v>2</v>
      </c>
      <c r="B85" s="2">
        <f t="shared" si="10"/>
        <v>9</v>
      </c>
      <c r="C85" s="15"/>
      <c r="D85" s="2">
        <v>1</v>
      </c>
      <c r="E85" s="15">
        <f>IF(D83=0,0,D85/D83)</f>
        <v>0.125</v>
      </c>
      <c r="G85" s="15">
        <f>IF(F83=0,0,F85/F83)</f>
        <v>0</v>
      </c>
      <c r="H85" s="2">
        <v>2</v>
      </c>
      <c r="I85" s="15">
        <f>IF(H83=0,0,H85/H83)</f>
        <v>0.66666666666666663</v>
      </c>
      <c r="J85" s="2">
        <v>0</v>
      </c>
      <c r="K85" s="15">
        <f>IF(J83=0,0,J85/J83)</f>
        <v>0</v>
      </c>
      <c r="L85" s="2">
        <v>0</v>
      </c>
      <c r="M85" s="15">
        <f>IF(L83=0,0,L85/L83)</f>
        <v>0</v>
      </c>
      <c r="O85" s="15">
        <f>IF(N83=0,0,N85/N83)</f>
        <v>0</v>
      </c>
      <c r="Q85" s="15">
        <f>IF(P83=0,0,P85/P83)</f>
        <v>0</v>
      </c>
      <c r="S85" s="15">
        <f>IF(R83=0,0,R85/R83)</f>
        <v>0</v>
      </c>
      <c r="T85" s="2">
        <v>0</v>
      </c>
      <c r="U85" s="15">
        <f>IF(T83=0,0,T85/T83)</f>
        <v>0</v>
      </c>
      <c r="W85" s="15">
        <f>IF(V83=0,0,V85/V83)</f>
        <v>0</v>
      </c>
      <c r="Y85" s="15">
        <f>IF(X83=0,0,X85/X83)</f>
        <v>0</v>
      </c>
      <c r="AA85" s="15">
        <f>IF(Z83=0,0,Z85/Z83)</f>
        <v>0</v>
      </c>
      <c r="AC85" s="15">
        <f>IF(AB83=0,0,AB85/AB83)</f>
        <v>0</v>
      </c>
      <c r="AE85" s="15">
        <f>IF(AD83=0,0,AD85/AD83)</f>
        <v>0</v>
      </c>
      <c r="AF85" s="2">
        <v>0</v>
      </c>
      <c r="AG85" s="15">
        <f>IF(AF83=0,0,AF85/AF83)</f>
        <v>0</v>
      </c>
      <c r="AI85" s="15">
        <f>IF(AH83=0,0,AH85/AH83)</f>
        <v>0</v>
      </c>
      <c r="AK85" s="15">
        <f>IF(AJ83=0,0,AJ85/AJ83)</f>
        <v>0</v>
      </c>
      <c r="AM85" s="15">
        <f>IF(AL83=0,0,AL85/AL83)</f>
        <v>0</v>
      </c>
      <c r="AN85" s="2">
        <v>0</v>
      </c>
      <c r="AO85" s="15">
        <f>IF(AN83=0,0,AN85/AN83)</f>
        <v>0</v>
      </c>
      <c r="AP85" s="2">
        <v>1</v>
      </c>
      <c r="AQ85" s="15">
        <f>IF(AP83=0,0,AP85/AP83)</f>
        <v>0.1111111111111111</v>
      </c>
      <c r="AS85" s="15">
        <f>IF(AR83=0,0,AR85/AR83)</f>
        <v>0</v>
      </c>
      <c r="AU85" s="15">
        <f>IF(AT83=0,0,AT85/AT83)</f>
        <v>0</v>
      </c>
      <c r="AW85" s="15">
        <f>IF(AV83=0,0,AV85/AV83)</f>
        <v>0</v>
      </c>
      <c r="AY85" s="15">
        <f>IF(AX83=0,0,AX85/AX83)</f>
        <v>0</v>
      </c>
      <c r="BA85" s="15">
        <f>IF(AZ83=0,0,AZ85/AZ83)</f>
        <v>0</v>
      </c>
      <c r="BC85" s="15">
        <f>IF(BB83=0,0,BB85/BB83)</f>
        <v>0</v>
      </c>
      <c r="BD85" s="9" t="s">
        <v>52</v>
      </c>
      <c r="BE85" s="9" t="s">
        <v>43</v>
      </c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</row>
    <row r="86" spans="1:69" ht="15.75" x14ac:dyDescent="0.3">
      <c r="A86" s="4" t="s">
        <v>1</v>
      </c>
      <c r="B86" s="2">
        <f t="shared" si="10"/>
        <v>9</v>
      </c>
      <c r="C86" s="15"/>
      <c r="E86" s="15">
        <f>IF(D83=0,0,D86/D83)</f>
        <v>0</v>
      </c>
      <c r="F86" s="2">
        <v>1</v>
      </c>
      <c r="G86" s="15">
        <f>IF(F83=0,0,F86/F83)</f>
        <v>0.2</v>
      </c>
      <c r="I86" s="15">
        <f>IF(H83=0,0,H86/H83)</f>
        <v>0</v>
      </c>
      <c r="J86" s="2">
        <v>0</v>
      </c>
      <c r="K86" s="15">
        <f>IF(J83=0,0,J86/J83)</f>
        <v>0</v>
      </c>
      <c r="L86" s="2">
        <v>0</v>
      </c>
      <c r="M86" s="15">
        <f>IF(L83=0,0,L86/L83)</f>
        <v>0</v>
      </c>
      <c r="O86" s="15">
        <f>IF(N83=0,0,N86/N83)</f>
        <v>0</v>
      </c>
      <c r="Q86" s="15">
        <f>IF(P83=0,0,P86/P83)</f>
        <v>0</v>
      </c>
      <c r="S86" s="15">
        <f>IF(R83=0,0,R86/R83)</f>
        <v>0</v>
      </c>
      <c r="T86" s="2">
        <v>1</v>
      </c>
      <c r="U86" s="15">
        <f>IF(T83=0,0,T86/T83)</f>
        <v>0.2</v>
      </c>
      <c r="W86" s="15">
        <f>IF(V83=0,0,V86/V83)</f>
        <v>0</v>
      </c>
      <c r="Y86" s="15">
        <f>IF(X83=0,0,X86/X83)</f>
        <v>0</v>
      </c>
      <c r="AA86" s="15">
        <f>IF(Z83=0,0,Z86/Z83)</f>
        <v>0</v>
      </c>
      <c r="AC86" s="15">
        <f>IF(AB83=0,0,AB86/AB83)</f>
        <v>0</v>
      </c>
      <c r="AE86" s="15">
        <f>IF(AD83=0,0,AD86/AD83)</f>
        <v>0</v>
      </c>
      <c r="AF86" s="2">
        <v>1</v>
      </c>
      <c r="AG86" s="15">
        <f>IF(AF83=0,0,AF86/AF83)</f>
        <v>0.125</v>
      </c>
      <c r="AI86" s="15">
        <f>IF(AH83=0,0,AH86/AH83)</f>
        <v>0</v>
      </c>
      <c r="AK86" s="15">
        <f>IF(AJ83=0,0,AJ86/AJ83)</f>
        <v>0</v>
      </c>
      <c r="AL86" s="2">
        <v>0</v>
      </c>
      <c r="AM86" s="15">
        <f>IF(AL83=0,0,AL86/AL83)</f>
        <v>0</v>
      </c>
      <c r="AN86" s="2">
        <v>1</v>
      </c>
      <c r="AO86" s="15">
        <f>IF(AN83=0,0,AN86/AN83)</f>
        <v>0.16666666666666666</v>
      </c>
      <c r="AP86" s="2">
        <v>1</v>
      </c>
      <c r="AQ86" s="15">
        <f>IF(AP83=0,0,AP86/AP83)</f>
        <v>0.1111111111111111</v>
      </c>
      <c r="AS86" s="15">
        <f>IF(AR83=0,0,AR86/AR83)</f>
        <v>0</v>
      </c>
      <c r="AU86" s="15">
        <f>IF(AT83=0,0,AT86/AT83)</f>
        <v>0</v>
      </c>
      <c r="AW86" s="15">
        <f>IF(AV83=0,0,AV86/AV83)</f>
        <v>0</v>
      </c>
      <c r="AY86" s="15">
        <f>IF(AX83=0,0,AX86/AX83)</f>
        <v>0</v>
      </c>
      <c r="BA86" s="15">
        <f>IF(AZ83=0,0,AZ86/AZ83)</f>
        <v>0</v>
      </c>
      <c r="BC86" s="15">
        <f>IF(BB83=0,0,BB86/BB83)</f>
        <v>0</v>
      </c>
      <c r="BD86" s="9" t="s">
        <v>53</v>
      </c>
      <c r="BE86" s="9" t="s">
        <v>44</v>
      </c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</row>
    <row r="87" spans="1:69" x14ac:dyDescent="0.25">
      <c r="A87" s="2" t="s">
        <v>3</v>
      </c>
      <c r="B87" s="2">
        <f t="shared" si="10"/>
        <v>7</v>
      </c>
      <c r="C87" s="15">
        <f>E87+G87+I87+K87+M87+O87+Q87+S87+U87+W87+Y87+AA87+AC87+AE87+AG87+AI87+AK87+AM87+AO87+AQ87+AS87+AU87+AW87+AY87+BA87+BC87</f>
        <v>1.1861111111111109</v>
      </c>
      <c r="D87" s="2">
        <v>2</v>
      </c>
      <c r="E87" s="15">
        <f>IF(D83=0,0,D87/D83)</f>
        <v>0.25</v>
      </c>
      <c r="F87" s="2">
        <v>1</v>
      </c>
      <c r="G87" s="15">
        <f>IF(F83=0,0,F87/F83)</f>
        <v>0.2</v>
      </c>
      <c r="I87" s="15">
        <f>IF(H83=0,0,H87/H83)</f>
        <v>0</v>
      </c>
      <c r="K87" s="15">
        <f>IF(J83=0,0,J87/J83)</f>
        <v>0</v>
      </c>
      <c r="M87" s="15">
        <f>IF(L83=0,0,L87/L83)</f>
        <v>0</v>
      </c>
      <c r="O87" s="15">
        <f>IF(N83=0,0,N87/N83)</f>
        <v>0</v>
      </c>
      <c r="Q87" s="15">
        <f>IF(P83=0,0,P87/P83)</f>
        <v>0</v>
      </c>
      <c r="S87" s="15">
        <f>IF(R83=0,0,R87/R83)</f>
        <v>0</v>
      </c>
      <c r="U87" s="15">
        <f>IF(T83=0,0,T87/T83)</f>
        <v>0</v>
      </c>
      <c r="W87" s="15">
        <f>IF(V83=0,0,V87/V83)</f>
        <v>0</v>
      </c>
      <c r="Y87" s="15">
        <f>IF(X83=0,0,X87/X83)</f>
        <v>0</v>
      </c>
      <c r="AA87" s="15">
        <f>IF(Z83=0,0,Z87/Z83)</f>
        <v>0</v>
      </c>
      <c r="AC87" s="15">
        <f>IF(AB83=0,0,AB87/AB83)</f>
        <v>0</v>
      </c>
      <c r="AE87" s="15">
        <f>IF(AD83=0,0,AD87/AD83)</f>
        <v>0</v>
      </c>
      <c r="AF87" s="2">
        <v>1</v>
      </c>
      <c r="AG87" s="15">
        <f>IF(AF83=0,0,AF87/AF83)</f>
        <v>0.125</v>
      </c>
      <c r="AI87" s="15">
        <f>IF(AH83=0,0,AH87/AH83)</f>
        <v>0</v>
      </c>
      <c r="AK87" s="15">
        <f>IF(AJ83=0,0,AJ87/AJ83)</f>
        <v>0</v>
      </c>
      <c r="AL87" s="2">
        <v>1</v>
      </c>
      <c r="AM87" s="15">
        <f>IF(AL83=0,0,AL87/AL83)</f>
        <v>0.16666666666666666</v>
      </c>
      <c r="AO87" s="15">
        <f>IF(AN83=0,0,AN87/AN83)</f>
        <v>0</v>
      </c>
      <c r="AP87" s="2">
        <v>1</v>
      </c>
      <c r="AQ87" s="15">
        <f>IF(AP83=0,0,AP87/AP83)</f>
        <v>0.1111111111111111</v>
      </c>
      <c r="AR87" s="2">
        <v>1</v>
      </c>
      <c r="AS87" s="15">
        <f>IF(AR83=0,0,AR87/AR83)</f>
        <v>0.33333333333333331</v>
      </c>
      <c r="AU87" s="15">
        <f>IF(AT83=0,0,AT87/AT83)</f>
        <v>0</v>
      </c>
      <c r="AW87" s="15">
        <f>IF(AV83=0,0,AV87/AV83)</f>
        <v>0</v>
      </c>
      <c r="AY87" s="15">
        <f>IF(AX83=0,0,AX87/AX83)</f>
        <v>0</v>
      </c>
      <c r="BA87" s="15">
        <f>IF(AZ83=0,0,AZ87/AZ83)</f>
        <v>0</v>
      </c>
      <c r="BC87" s="15">
        <f>IF(BB83=0,0,BB87/BB83)</f>
        <v>0</v>
      </c>
      <c r="BD87" s="9" t="s">
        <v>54</v>
      </c>
      <c r="BE87" s="9" t="s">
        <v>45</v>
      </c>
      <c r="BF87" s="9" t="s">
        <v>47</v>
      </c>
      <c r="BG87" s="9" t="s">
        <v>44</v>
      </c>
      <c r="BH87" s="9" t="s">
        <v>42</v>
      </c>
      <c r="BI87" s="9" t="s">
        <v>49</v>
      </c>
      <c r="BJ87" s="9" t="s">
        <v>63</v>
      </c>
      <c r="BK87" s="9" t="s">
        <v>46</v>
      </c>
      <c r="BL87" s="9" t="s">
        <v>64</v>
      </c>
      <c r="BM87" s="9" t="s">
        <v>63</v>
      </c>
      <c r="BN87" s="9"/>
      <c r="BO87" s="9"/>
      <c r="BP87" s="9"/>
      <c r="BQ87" s="9"/>
    </row>
    <row r="88" spans="1:69" ht="15.75" x14ac:dyDescent="0.3">
      <c r="A88" s="4" t="s">
        <v>5</v>
      </c>
      <c r="B88" s="2">
        <f t="shared" si="10"/>
        <v>7</v>
      </c>
      <c r="C88" s="15"/>
      <c r="D88" s="2">
        <v>1</v>
      </c>
      <c r="E88" s="15">
        <f>IF(D83=0,0,D88/D83)</f>
        <v>0.125</v>
      </c>
      <c r="F88" s="2">
        <v>1</v>
      </c>
      <c r="G88" s="15">
        <f>IF(F83=0,0,F88/F83)</f>
        <v>0.2</v>
      </c>
      <c r="I88" s="15">
        <f>IF(H83=0,0,H88/H83)</f>
        <v>0</v>
      </c>
      <c r="K88" s="15">
        <f>IF(J83=0,0,J88/J83)</f>
        <v>0</v>
      </c>
      <c r="M88" s="15">
        <f>IF(L83=0,0,L88/L83)</f>
        <v>0</v>
      </c>
      <c r="O88" s="15">
        <f>IF(N83=0,0,N88/N83)</f>
        <v>0</v>
      </c>
      <c r="Q88" s="15">
        <f>IF(P83=0,0,P88/P83)</f>
        <v>0</v>
      </c>
      <c r="R88" s="2">
        <v>1</v>
      </c>
      <c r="S88" s="15">
        <f>IF(R83=0,0,R88/R83)</f>
        <v>0.5</v>
      </c>
      <c r="T88" s="2">
        <v>0</v>
      </c>
      <c r="U88" s="15">
        <f>IF(T83=0,0,T88/T83)</f>
        <v>0</v>
      </c>
      <c r="W88" s="15">
        <f>IF(V83=0,0,V88/V83)</f>
        <v>0</v>
      </c>
      <c r="Y88" s="15">
        <f>IF(X83=0,0,X88/X83)</f>
        <v>0</v>
      </c>
      <c r="AA88" s="15">
        <f>IF(Z83=0,0,Z88/Z83)</f>
        <v>0</v>
      </c>
      <c r="AC88" s="15">
        <f>IF(AB83=0,0,AB88/AB83)</f>
        <v>0</v>
      </c>
      <c r="AE88" s="15">
        <f>IF(AD83=0,0,AD88/AD83)</f>
        <v>0</v>
      </c>
      <c r="AG88" s="15">
        <f>IF(AF83=0,0,AF88/AF83)</f>
        <v>0</v>
      </c>
      <c r="AI88" s="15">
        <f>IF(AH83=0,0,AH88/AH83)</f>
        <v>0</v>
      </c>
      <c r="AK88" s="15">
        <f>IF(AJ83=0,0,AJ88/AJ83)</f>
        <v>0</v>
      </c>
      <c r="AM88" s="15">
        <f>IF(AL83=0,0,AL88/AL83)</f>
        <v>0</v>
      </c>
      <c r="AO88" s="15">
        <f>IF(AN83=0,0,AN88/AN83)</f>
        <v>0</v>
      </c>
      <c r="AP88" s="2">
        <v>1</v>
      </c>
      <c r="AQ88" s="15">
        <f>IF(AP83=0,0,AP88/AP83)</f>
        <v>0.1111111111111111</v>
      </c>
      <c r="AS88" s="15">
        <f>IF(AR83=0,0,AR88/AR83)</f>
        <v>0</v>
      </c>
      <c r="AU88" s="15">
        <f>IF(AT83=0,0,AT88/AT83)</f>
        <v>0</v>
      </c>
      <c r="AW88" s="15">
        <f>IF(AV83=0,0,AV88/AV83)</f>
        <v>0</v>
      </c>
      <c r="AY88" s="15">
        <f>IF(AX83=0,0,AX88/AX83)</f>
        <v>0</v>
      </c>
      <c r="BA88" s="15">
        <f>IF(AZ83=0,0,AZ88/AZ83)</f>
        <v>0</v>
      </c>
      <c r="BC88" s="15">
        <f>IF(BB83=0,0,BB88/BB83)</f>
        <v>0</v>
      </c>
      <c r="BD88" s="9" t="s">
        <v>55</v>
      </c>
      <c r="BE88" s="9" t="s">
        <v>46</v>
      </c>
      <c r="BF88" s="9"/>
      <c r="BG88" s="9"/>
      <c r="BH88" s="9"/>
      <c r="BI88" s="9"/>
      <c r="BJ88" s="9"/>
      <c r="BK88" s="9"/>
      <c r="BL88" s="9" t="s">
        <v>42</v>
      </c>
      <c r="BM88" s="9"/>
      <c r="BN88" s="9"/>
      <c r="BO88" s="9"/>
      <c r="BP88" s="9"/>
      <c r="BQ88" s="9"/>
    </row>
    <row r="89" spans="1:69" x14ac:dyDescent="0.25">
      <c r="A89" s="2" t="s">
        <v>4</v>
      </c>
      <c r="B89" s="2">
        <f t="shared" si="10"/>
        <v>7</v>
      </c>
      <c r="C89" s="15">
        <f t="shared" ref="C89:C96" si="11">E89+G89+I89+K89+M89+O89+Q89+S89+U89+W89+Y89+AA89+AC89+AE89+AG89+AI89+AK89+AM89+AO89+AQ89+AS89+AU89+AW89+AY89+BA89+BC89</f>
        <v>1.4083333333333332</v>
      </c>
      <c r="D89" s="2">
        <v>1</v>
      </c>
      <c r="E89" s="15">
        <f>IF(D83=0,0,D89/D83)</f>
        <v>0.125</v>
      </c>
      <c r="G89" s="15">
        <f>IF(F83=0,0,F89/F83)</f>
        <v>0</v>
      </c>
      <c r="I89" s="15">
        <f>IF(H83=0,0,H89/H83)</f>
        <v>0</v>
      </c>
      <c r="K89" s="15">
        <f>IF(J83=0,0,J89/J83)</f>
        <v>0</v>
      </c>
      <c r="M89" s="15">
        <f>IF(L83=0,0,L89/L83)</f>
        <v>0</v>
      </c>
      <c r="O89" s="15">
        <f>IF(N83=0,0,N89/N83)</f>
        <v>0</v>
      </c>
      <c r="Q89" s="15">
        <f>IF(P83=0,0,P89/P83)</f>
        <v>0</v>
      </c>
      <c r="R89" s="2">
        <v>1</v>
      </c>
      <c r="S89" s="15">
        <f>IF(R83=0,0,R89/R83)</f>
        <v>0.5</v>
      </c>
      <c r="T89" s="2">
        <v>1</v>
      </c>
      <c r="U89" s="15">
        <f>IF(T83=0,0,T89/T83)</f>
        <v>0.2</v>
      </c>
      <c r="W89" s="15">
        <f>IF(V83=0,0,V89/V83)</f>
        <v>0</v>
      </c>
      <c r="Y89" s="15">
        <f>IF(X83=0,0,X89/X83)</f>
        <v>0</v>
      </c>
      <c r="AA89" s="15">
        <f>IF(Z83=0,0,Z89/Z83)</f>
        <v>0</v>
      </c>
      <c r="AC89" s="15">
        <f>IF(AB83=0,0,AB89/AB83)</f>
        <v>0</v>
      </c>
      <c r="AE89" s="15">
        <f>IF(AD83=0,0,AD89/AD83)</f>
        <v>0</v>
      </c>
      <c r="AF89" s="2">
        <v>2</v>
      </c>
      <c r="AG89" s="15">
        <f>IF(AF83=0,0,AF89/AF83)</f>
        <v>0.25</v>
      </c>
      <c r="AI89" s="15">
        <f>IF(AH83=0,0,AH89/AH83)</f>
        <v>0</v>
      </c>
      <c r="AK89" s="15">
        <f>IF(AJ83=0,0,AJ89/AJ83)</f>
        <v>0</v>
      </c>
      <c r="AL89" s="2">
        <v>2</v>
      </c>
      <c r="AM89" s="15">
        <f>IF(AL83=0,0,AL89/AL83)</f>
        <v>0.33333333333333331</v>
      </c>
      <c r="AO89" s="15">
        <f>IF(AN83=0,0,AN89/AN83)</f>
        <v>0</v>
      </c>
      <c r="AQ89" s="15">
        <f>IF(AP83=0,0,AP89/AP83)</f>
        <v>0</v>
      </c>
      <c r="AS89" s="15">
        <f>IF(AR83=0,0,AR89/AR83)</f>
        <v>0</v>
      </c>
      <c r="AU89" s="15">
        <f>IF(AT83=0,0,AT89/AT83)</f>
        <v>0</v>
      </c>
      <c r="AW89" s="15">
        <f>IF(AV83=0,0,AV89/AV83)</f>
        <v>0</v>
      </c>
      <c r="AY89" s="15">
        <f>IF(AX83=0,0,AX89/AX83)</f>
        <v>0</v>
      </c>
      <c r="BA89" s="15">
        <f>IF(AZ83=0,0,AZ89/AZ83)</f>
        <v>0</v>
      </c>
      <c r="BC89" s="15">
        <f>IF(BB83=0,0,BB89/BB83)</f>
        <v>0</v>
      </c>
      <c r="BD89" s="9" t="s">
        <v>56</v>
      </c>
      <c r="BE89" s="9" t="s">
        <v>45</v>
      </c>
      <c r="BF89" s="9"/>
      <c r="BG89" s="9"/>
      <c r="BH89" s="9"/>
      <c r="BI89" s="9"/>
      <c r="BJ89" s="9"/>
      <c r="BK89" s="9"/>
      <c r="BL89" s="9" t="s">
        <v>47</v>
      </c>
      <c r="BM89" s="9"/>
      <c r="BN89" s="9"/>
      <c r="BO89" s="9"/>
      <c r="BP89" s="9"/>
      <c r="BQ89" s="9"/>
    </row>
    <row r="90" spans="1:69" x14ac:dyDescent="0.25">
      <c r="A90" s="2" t="s">
        <v>7</v>
      </c>
      <c r="B90" s="2">
        <f t="shared" si="10"/>
        <v>7</v>
      </c>
      <c r="C90" s="15">
        <f t="shared" si="11"/>
        <v>2.0833333333333335</v>
      </c>
      <c r="E90" s="15">
        <f>IF(D83=0,0,D90/D83)</f>
        <v>0</v>
      </c>
      <c r="G90" s="15">
        <f>IF(F83=0,0,F90/F83)</f>
        <v>0</v>
      </c>
      <c r="H90" s="2">
        <v>1</v>
      </c>
      <c r="I90" s="15">
        <f>IF(H83=0,0,H90/H83)</f>
        <v>0.33333333333333331</v>
      </c>
      <c r="K90" s="15">
        <f>IF(J83=0,0,J90/J83)</f>
        <v>0</v>
      </c>
      <c r="M90" s="15">
        <f>IF(L83=0,0,L90/L83)</f>
        <v>0</v>
      </c>
      <c r="O90" s="15">
        <f>IF(N83=0,0,N90/N83)</f>
        <v>0</v>
      </c>
      <c r="Q90" s="15">
        <f>IF(P83=0,0,P90/P83)</f>
        <v>0</v>
      </c>
      <c r="S90" s="15">
        <f>IF(R83=0,0,R90/R83)</f>
        <v>0</v>
      </c>
      <c r="U90" s="15">
        <f>IF(T83=0,0,T90/T83)</f>
        <v>0</v>
      </c>
      <c r="W90" s="15">
        <f>IF(V83=0,0,V90/V83)</f>
        <v>0</v>
      </c>
      <c r="Y90" s="15">
        <f>IF(X83=0,0,X90/X83)</f>
        <v>0</v>
      </c>
      <c r="Z90" s="2">
        <v>1</v>
      </c>
      <c r="AA90" s="15">
        <f>IF(Z83=0,0,Z90/Z83)</f>
        <v>0.5</v>
      </c>
      <c r="AB90" s="2">
        <v>1</v>
      </c>
      <c r="AC90" s="15">
        <f>IF(AB83=0,0,AB90/AB83)</f>
        <v>0.5</v>
      </c>
      <c r="AE90" s="15">
        <f>IF(AD83=0,0,AD90/AD83)</f>
        <v>0</v>
      </c>
      <c r="AF90" s="2">
        <v>2</v>
      </c>
      <c r="AG90" s="15">
        <f>IF(AF83=0,0,AF90/AF83)</f>
        <v>0.25</v>
      </c>
      <c r="AI90" s="15">
        <f>IF(AH83=0,0,AH90/AH83)</f>
        <v>0</v>
      </c>
      <c r="AK90" s="15">
        <f>IF(AJ83=0,0,AJ90/AJ83)</f>
        <v>0</v>
      </c>
      <c r="AM90" s="15">
        <f>IF(AL83=0,0,AL90/AL83)</f>
        <v>0</v>
      </c>
      <c r="AN90" s="2">
        <v>1</v>
      </c>
      <c r="AO90" s="15">
        <f>IF(AN83=0,0,AN90/AN83)</f>
        <v>0.16666666666666666</v>
      </c>
      <c r="AQ90" s="15">
        <f>IF(AP83=0,0,AP90/AP83)</f>
        <v>0</v>
      </c>
      <c r="AR90" s="2">
        <v>1</v>
      </c>
      <c r="AS90" s="15">
        <f>IF(AR83=0,0,AR90/AR83)</f>
        <v>0.33333333333333331</v>
      </c>
      <c r="AU90" s="15">
        <f>IF(AT83=0,0,AT90/AT83)</f>
        <v>0</v>
      </c>
      <c r="AW90" s="15">
        <f>IF(AV83=0,0,AV90/AV83)</f>
        <v>0</v>
      </c>
      <c r="AY90" s="15">
        <f>IF(AX83=0,0,AX90/AX83)</f>
        <v>0</v>
      </c>
      <c r="BA90" s="15">
        <f>IF(AZ83=0,0,AZ90/AZ83)</f>
        <v>0</v>
      </c>
      <c r="BC90" s="15">
        <f>IF(BB83=0,0,BB90/BB83)</f>
        <v>0</v>
      </c>
      <c r="BD90" s="9" t="s">
        <v>57</v>
      </c>
      <c r="BE90" s="9" t="s">
        <v>47</v>
      </c>
      <c r="BF90" s="9"/>
      <c r="BG90" s="9"/>
      <c r="BH90" s="9"/>
      <c r="BI90" s="9"/>
      <c r="BJ90" s="9"/>
      <c r="BK90" s="9"/>
      <c r="BL90" s="9" t="s">
        <v>65</v>
      </c>
      <c r="BM90" s="9"/>
      <c r="BN90" s="9"/>
      <c r="BO90" s="9"/>
      <c r="BP90" s="9"/>
      <c r="BQ90" s="9"/>
    </row>
    <row r="91" spans="1:69" x14ac:dyDescent="0.25">
      <c r="A91" s="2" t="s">
        <v>6</v>
      </c>
      <c r="B91" s="2">
        <f t="shared" si="10"/>
        <v>5</v>
      </c>
      <c r="C91" s="15">
        <f t="shared" si="11"/>
        <v>0.8472222222222221</v>
      </c>
      <c r="E91" s="15">
        <f>IF(D83=0,0,D91/D83)</f>
        <v>0</v>
      </c>
      <c r="G91" s="15">
        <f>IF(F83=0,0,F91/F83)</f>
        <v>0</v>
      </c>
      <c r="I91" s="15">
        <f>IF(H83=0,0,H91/H83)</f>
        <v>0</v>
      </c>
      <c r="K91" s="15">
        <f>IF(J83=0,0,J91/J83)</f>
        <v>0</v>
      </c>
      <c r="M91" s="15">
        <f>IF(L83=0,0,L91/L83)</f>
        <v>0</v>
      </c>
      <c r="O91" s="15">
        <f>IF(N83=0,0,N91/N83)</f>
        <v>0</v>
      </c>
      <c r="Q91" s="15">
        <f>IF(P83=0,0,P91/P83)</f>
        <v>0</v>
      </c>
      <c r="S91" s="15">
        <f>IF(R83=0,0,R91/R83)</f>
        <v>0</v>
      </c>
      <c r="U91" s="15">
        <f>IF(T83=0,0,T91/T83)</f>
        <v>0</v>
      </c>
      <c r="W91" s="15">
        <f>IF(V83=0,0,V91/V83)</f>
        <v>0</v>
      </c>
      <c r="Y91" s="15">
        <f>IF(X83=0,0,X91/X83)</f>
        <v>0</v>
      </c>
      <c r="AA91" s="15">
        <f>IF(Z83=0,0,Z91/Z83)</f>
        <v>0</v>
      </c>
      <c r="AC91" s="15">
        <f>IF(AB83=0,0,AB91/AB83)</f>
        <v>0</v>
      </c>
      <c r="AE91" s="15">
        <f>IF(AD83=0,0,AD91/AD83)</f>
        <v>0</v>
      </c>
      <c r="AF91" s="2">
        <v>1</v>
      </c>
      <c r="AG91" s="15">
        <f>IF(AF83=0,0,AF91/AF83)</f>
        <v>0.125</v>
      </c>
      <c r="AI91" s="15">
        <f>IF(AH83=0,0,AH91/AH83)</f>
        <v>0</v>
      </c>
      <c r="AK91" s="15">
        <f>IF(AJ83=0,0,AJ91/AJ83)</f>
        <v>0</v>
      </c>
      <c r="AL91" s="2">
        <v>1</v>
      </c>
      <c r="AM91" s="15">
        <f>IF(AL83=0,0,AL91/AL83)</f>
        <v>0.16666666666666666</v>
      </c>
      <c r="AO91" s="15">
        <f>IF(AN83=0,0,AN91/AN83)</f>
        <v>0</v>
      </c>
      <c r="AP91" s="2">
        <v>2</v>
      </c>
      <c r="AQ91" s="15">
        <f>IF(AP83=0,0,AP91/AP83)</f>
        <v>0.22222222222222221</v>
      </c>
      <c r="AR91" s="2">
        <v>1</v>
      </c>
      <c r="AS91" s="15">
        <f>IF(AR83=0,0,AR91/AR83)</f>
        <v>0.33333333333333331</v>
      </c>
      <c r="AU91" s="15">
        <f>IF(AT83=0,0,AT91/AT83)</f>
        <v>0</v>
      </c>
      <c r="AW91" s="15">
        <f>IF(AV83=0,0,AV91/AV83)</f>
        <v>0</v>
      </c>
      <c r="AY91" s="15">
        <f>IF(AX83=0,0,AX91/AX83)</f>
        <v>0</v>
      </c>
      <c r="BA91" s="15">
        <f>IF(AZ83=0,0,AZ91/AZ83)</f>
        <v>0</v>
      </c>
      <c r="BC91" s="15">
        <f>IF(BB83=0,0,BB91/BB83)</f>
        <v>0</v>
      </c>
      <c r="BD91" s="9" t="s">
        <v>58</v>
      </c>
      <c r="BE91" s="9" t="s">
        <v>47</v>
      </c>
      <c r="BF91" s="9"/>
      <c r="BG91" s="9"/>
      <c r="BH91" s="9"/>
      <c r="BI91" s="9"/>
      <c r="BJ91" s="9"/>
      <c r="BK91" s="9"/>
      <c r="BL91" s="9" t="s">
        <v>63</v>
      </c>
      <c r="BM91" s="9"/>
      <c r="BN91" s="9"/>
      <c r="BO91" s="9"/>
      <c r="BP91" s="9"/>
      <c r="BQ91" s="9"/>
    </row>
    <row r="92" spans="1:69" x14ac:dyDescent="0.25">
      <c r="A92" s="2" t="s">
        <v>8</v>
      </c>
      <c r="B92" s="2">
        <f t="shared" si="10"/>
        <v>5</v>
      </c>
      <c r="C92" s="15">
        <f t="shared" si="11"/>
        <v>1.2666666666666668</v>
      </c>
      <c r="E92" s="15">
        <f>IF(D83=0,0,D92/D83)</f>
        <v>0</v>
      </c>
      <c r="F92" s="2">
        <v>1</v>
      </c>
      <c r="G92" s="15">
        <f>IF(F83=0,0,F92/F83)</f>
        <v>0.2</v>
      </c>
      <c r="I92" s="15">
        <f>IF(H83=0,0,H92/H83)</f>
        <v>0</v>
      </c>
      <c r="K92" s="15">
        <f>IF(J83=0,0,J92/J83)</f>
        <v>0</v>
      </c>
      <c r="L92" s="2">
        <v>2</v>
      </c>
      <c r="M92" s="15">
        <f>IF(L83=0,0,L92/L83)</f>
        <v>0.4</v>
      </c>
      <c r="O92" s="15">
        <f>IF(N83=0,0,N92/N83)</f>
        <v>0</v>
      </c>
      <c r="Q92" s="15">
        <f>IF(P83=0,0,P92/P83)</f>
        <v>0</v>
      </c>
      <c r="S92" s="15">
        <f>IF(R83=0,0,R92/R83)</f>
        <v>0</v>
      </c>
      <c r="U92" s="15">
        <f>IF(T83=0,0,T92/T83)</f>
        <v>0</v>
      </c>
      <c r="W92" s="15">
        <f>IF(V83=0,0,V92/V83)</f>
        <v>0</v>
      </c>
      <c r="Y92" s="15">
        <f>IF(X83=0,0,X92/X83)</f>
        <v>0</v>
      </c>
      <c r="Z92" s="2">
        <v>1</v>
      </c>
      <c r="AA92" s="15">
        <f>IF(Z83=0,0,Z92/Z83)</f>
        <v>0.5</v>
      </c>
      <c r="AC92" s="15">
        <f>IF(AB83=0,0,AB92/AB83)</f>
        <v>0</v>
      </c>
      <c r="AE92" s="15">
        <f>IF(AD83=0,0,AD92/AD83)</f>
        <v>0</v>
      </c>
      <c r="AG92" s="15">
        <f>IF(AF83=0,0,AF92/AF83)</f>
        <v>0</v>
      </c>
      <c r="AI92" s="15">
        <f>IF(AH83=0,0,AH92/AH83)</f>
        <v>0</v>
      </c>
      <c r="AK92" s="15">
        <f>IF(AJ83=0,0,AJ92/AJ83)</f>
        <v>0</v>
      </c>
      <c r="AL92" s="2">
        <v>1</v>
      </c>
      <c r="AM92" s="15">
        <f>IF(AL83=0,0,AL92/AL83)</f>
        <v>0.16666666666666666</v>
      </c>
      <c r="AO92" s="15">
        <f>IF(AN83=0,0,AN92/AN83)</f>
        <v>0</v>
      </c>
      <c r="AQ92" s="15">
        <f>IF(AP83=0,0,AP92/AP83)</f>
        <v>0</v>
      </c>
      <c r="AS92" s="15">
        <f>IF(AR83=0,0,AR92/AR83)</f>
        <v>0</v>
      </c>
      <c r="AU92" s="15">
        <f>IF(AT83=0,0,AT92/AT83)</f>
        <v>0</v>
      </c>
      <c r="AW92" s="15">
        <f>IF(AV83=0,0,AV92/AV83)</f>
        <v>0</v>
      </c>
      <c r="AY92" s="15">
        <f>IF(AX83=0,0,AX92/AX83)</f>
        <v>0</v>
      </c>
      <c r="BA92" s="15">
        <f>IF(AZ83=0,0,AZ92/AZ83)</f>
        <v>0</v>
      </c>
      <c r="BC92" s="15">
        <f>IF(BB83=0,0,BB92/BB83)</f>
        <v>0</v>
      </c>
      <c r="BD92" s="9" t="s">
        <v>59</v>
      </c>
      <c r="BE92" s="9" t="s">
        <v>45</v>
      </c>
      <c r="BF92" s="9"/>
      <c r="BG92" s="9"/>
      <c r="BH92" s="9" t="s">
        <v>66</v>
      </c>
      <c r="BI92" s="9" t="s">
        <v>48</v>
      </c>
      <c r="BJ92" s="9" t="s">
        <v>49</v>
      </c>
      <c r="BK92" s="9" t="s">
        <v>42</v>
      </c>
      <c r="BL92" s="9" t="s">
        <v>44</v>
      </c>
      <c r="BM92" s="9" t="s">
        <v>48</v>
      </c>
      <c r="BN92" s="9" t="s">
        <v>44</v>
      </c>
      <c r="BO92" s="9"/>
      <c r="BP92" s="9"/>
      <c r="BQ92" s="9"/>
    </row>
    <row r="93" spans="1:69" x14ac:dyDescent="0.25">
      <c r="A93" s="2" t="s">
        <v>10</v>
      </c>
      <c r="B93" s="2">
        <f t="shared" si="10"/>
        <v>3</v>
      </c>
      <c r="C93" s="15">
        <f t="shared" si="11"/>
        <v>0.52500000000000002</v>
      </c>
      <c r="D93" s="2">
        <v>1</v>
      </c>
      <c r="E93" s="15">
        <f>IF(D83=0,0,D93/D83)</f>
        <v>0.125</v>
      </c>
      <c r="F93" s="2">
        <v>1</v>
      </c>
      <c r="G93" s="15">
        <f>IF(F83=0,0,F93/F83)</f>
        <v>0.2</v>
      </c>
      <c r="I93" s="15">
        <f>IF(H83=0,0,H93/H83)</f>
        <v>0</v>
      </c>
      <c r="K93" s="15">
        <f>IF(J83=0,0,J93/J83)</f>
        <v>0</v>
      </c>
      <c r="M93" s="15">
        <f>IF(L83=0,0,L93/L83)</f>
        <v>0</v>
      </c>
      <c r="O93" s="15">
        <f>IF(N83=0,0,N93/N83)</f>
        <v>0</v>
      </c>
      <c r="Q93" s="15">
        <f>IF(P83=0,0,P93/P83)</f>
        <v>0</v>
      </c>
      <c r="S93" s="15">
        <f>IF(R83=0,0,R93/R83)</f>
        <v>0</v>
      </c>
      <c r="T93" s="2">
        <v>1</v>
      </c>
      <c r="U93" s="15">
        <f>IF(T83=0,0,T93/T83)</f>
        <v>0.2</v>
      </c>
      <c r="W93" s="15">
        <f>IF(V83=0,0,V93/V83)</f>
        <v>0</v>
      </c>
      <c r="Y93" s="15">
        <f>IF(X83=0,0,X93/X83)</f>
        <v>0</v>
      </c>
      <c r="AA93" s="15">
        <f>IF(Z83=0,0,Z93/Z83)</f>
        <v>0</v>
      </c>
      <c r="AC93" s="15">
        <f>IF(AB83=0,0,AB93/AB83)</f>
        <v>0</v>
      </c>
      <c r="AE93" s="15">
        <f>IF(AD83=0,0,AD93/AD83)</f>
        <v>0</v>
      </c>
      <c r="AG93" s="15">
        <f>IF(AF83=0,0,AF93/AF83)</f>
        <v>0</v>
      </c>
      <c r="AI93" s="15">
        <f>IF(AH83=0,0,AH93/AH83)</f>
        <v>0</v>
      </c>
      <c r="AK93" s="15">
        <f>IF(AJ83=0,0,AJ93/AJ83)</f>
        <v>0</v>
      </c>
      <c r="AM93" s="15">
        <f>IF(AL83=0,0,AL93/AL83)</f>
        <v>0</v>
      </c>
      <c r="AO93" s="15">
        <f>IF(AN83=0,0,AN93/AN83)</f>
        <v>0</v>
      </c>
      <c r="AQ93" s="15">
        <f>IF(AP83=0,0,AP93/AP83)</f>
        <v>0</v>
      </c>
      <c r="AS93" s="15">
        <f>IF(AR83=0,0,AR93/AR83)</f>
        <v>0</v>
      </c>
      <c r="AU93" s="15">
        <f>IF(AT83=0,0,AT93/AT83)</f>
        <v>0</v>
      </c>
      <c r="AW93" s="15">
        <f>IF(AV83=0,0,AV93/AV83)</f>
        <v>0</v>
      </c>
      <c r="AY93" s="15">
        <f>IF(AX83=0,0,AX93/AX83)</f>
        <v>0</v>
      </c>
      <c r="BA93" s="15">
        <f>IF(AZ83=0,0,AZ93/AZ83)</f>
        <v>0</v>
      </c>
      <c r="BC93" s="15">
        <f>IF(BB83=0,0,BB93/BB83)</f>
        <v>0</v>
      </c>
      <c r="BD93" s="9" t="s">
        <v>60</v>
      </c>
      <c r="BE93" s="9"/>
      <c r="BF93" s="9"/>
      <c r="BG93" s="9"/>
      <c r="BH93" s="9"/>
      <c r="BI93" s="9"/>
      <c r="BJ93" s="9"/>
      <c r="BK93" s="9"/>
      <c r="BL93" s="9" t="s">
        <v>45</v>
      </c>
      <c r="BM93" s="9"/>
      <c r="BN93" s="9"/>
      <c r="BO93" s="9"/>
      <c r="BP93" s="9"/>
      <c r="BQ93" s="9"/>
    </row>
    <row r="94" spans="1:69" x14ac:dyDescent="0.25">
      <c r="A94" s="2" t="s">
        <v>12</v>
      </c>
      <c r="B94" s="2">
        <f t="shared" si="10"/>
        <v>3</v>
      </c>
      <c r="C94" s="15">
        <f t="shared" si="11"/>
        <v>0.82499999999999996</v>
      </c>
      <c r="D94" s="2">
        <v>1</v>
      </c>
      <c r="E94" s="15">
        <f>IF(D83=0,0,D94/D83)</f>
        <v>0.125</v>
      </c>
      <c r="G94" s="15">
        <f>IF(F83=0,0,F94/F83)</f>
        <v>0</v>
      </c>
      <c r="I94" s="15">
        <f>IF(H83=0,0,H94/H83)</f>
        <v>0</v>
      </c>
      <c r="K94" s="15">
        <f>IF(J83=0,0,J94/J83)</f>
        <v>0</v>
      </c>
      <c r="M94" s="15">
        <f>IF(L83=0,0,L94/L83)</f>
        <v>0</v>
      </c>
      <c r="O94" s="15">
        <f>IF(N83=0,0,N94/N83)</f>
        <v>0</v>
      </c>
      <c r="Q94" s="15">
        <f>IF(P83=0,0,P94/P83)</f>
        <v>0</v>
      </c>
      <c r="S94" s="15">
        <f>IF(R83=0,0,R94/R83)</f>
        <v>0</v>
      </c>
      <c r="T94" s="2">
        <v>1</v>
      </c>
      <c r="U94" s="15">
        <f>IF(T83=0,0,T94/T83)</f>
        <v>0.2</v>
      </c>
      <c r="W94" s="15">
        <f>IF(V83=0,0,V94/V83)</f>
        <v>0</v>
      </c>
      <c r="Y94" s="15">
        <f>IF(X83=0,0,X94/X83)</f>
        <v>0</v>
      </c>
      <c r="AA94" s="15">
        <f>IF(Z83=0,0,Z94/Z83)</f>
        <v>0</v>
      </c>
      <c r="AB94" s="2">
        <v>1</v>
      </c>
      <c r="AC94" s="15">
        <f>IF(AB83=0,0,AB94/AB83)</f>
        <v>0.5</v>
      </c>
      <c r="AE94" s="15">
        <f>IF(AD83=0,0,AD94/AD83)</f>
        <v>0</v>
      </c>
      <c r="AG94" s="15">
        <f>IF(AF83=0,0,AF94/AF83)</f>
        <v>0</v>
      </c>
      <c r="AI94" s="15">
        <f>IF(AH83=0,0,AH94/AH83)</f>
        <v>0</v>
      </c>
      <c r="AK94" s="15">
        <f>IF(AJ83=0,0,AJ94/AJ83)</f>
        <v>0</v>
      </c>
      <c r="AM94" s="15">
        <f>IF(AL83=0,0,AL94/AL83)</f>
        <v>0</v>
      </c>
      <c r="AO94" s="15">
        <f>IF(AN83=0,0,AN94/AN83)</f>
        <v>0</v>
      </c>
      <c r="AQ94" s="15">
        <f>IF(AP83=0,0,AP94/AP83)</f>
        <v>0</v>
      </c>
      <c r="AS94" s="15">
        <f>IF(AR83=0,0,AR94/AR83)</f>
        <v>0</v>
      </c>
      <c r="AU94" s="15">
        <f>IF(AT83=0,0,AT94/AT83)</f>
        <v>0</v>
      </c>
      <c r="AW94" s="15">
        <f>IF(AV83=0,0,AV94/AV83)</f>
        <v>0</v>
      </c>
      <c r="AY94" s="15">
        <f>IF(AX83=0,0,AX94/AX83)</f>
        <v>0</v>
      </c>
      <c r="BA94" s="15">
        <f>IF(AZ83=0,0,AZ94/AZ83)</f>
        <v>0</v>
      </c>
      <c r="BC94" s="15">
        <f>IF(BB83=0,0,BB94/BB83)</f>
        <v>0</v>
      </c>
      <c r="BD94" s="9" t="s">
        <v>61</v>
      </c>
      <c r="BE94" s="9"/>
      <c r="BF94" s="9"/>
      <c r="BG94" s="9"/>
      <c r="BH94" s="9"/>
      <c r="BI94" s="9"/>
      <c r="BJ94" s="9"/>
      <c r="BK94" s="9"/>
      <c r="BL94" s="9" t="s">
        <v>65</v>
      </c>
      <c r="BM94" s="9"/>
      <c r="BN94" s="9"/>
      <c r="BO94" s="9"/>
      <c r="BP94" s="9"/>
      <c r="BQ94" s="9"/>
    </row>
    <row r="95" spans="1:69" x14ac:dyDescent="0.25">
      <c r="A95" s="2" t="s">
        <v>9</v>
      </c>
      <c r="B95" s="2">
        <f t="shared" si="10"/>
        <v>3</v>
      </c>
      <c r="C95" s="15">
        <f t="shared" si="11"/>
        <v>0.4777777777777778</v>
      </c>
      <c r="E95" s="15">
        <f>IF(D83=0,0,D95/D83)</f>
        <v>0</v>
      </c>
      <c r="G95" s="15">
        <f>IF(F83=0,0,F95/F83)</f>
        <v>0</v>
      </c>
      <c r="I95" s="15">
        <f>IF(H83=0,0,H95/H83)</f>
        <v>0</v>
      </c>
      <c r="K95" s="15">
        <f>IF(J83=0,0,J95/J83)</f>
        <v>0</v>
      </c>
      <c r="L95" s="2">
        <v>1</v>
      </c>
      <c r="M95" s="15">
        <f>IF(L83=0,0,L95/L83)</f>
        <v>0.2</v>
      </c>
      <c r="O95" s="15">
        <f>IF(N83=0,0,N95/N83)</f>
        <v>0</v>
      </c>
      <c r="Q95" s="15">
        <f>IF(P83=0,0,P95/P83)</f>
        <v>0</v>
      </c>
      <c r="S95" s="15">
        <f>IF(R83=0,0,R95/R83)</f>
        <v>0</v>
      </c>
      <c r="U95" s="15">
        <f>IF(T83=0,0,T95/T83)</f>
        <v>0</v>
      </c>
      <c r="W95" s="15">
        <f>IF(V83=0,0,V95/V83)</f>
        <v>0</v>
      </c>
      <c r="Y95" s="15">
        <f>IF(X83=0,0,X95/X83)</f>
        <v>0</v>
      </c>
      <c r="AA95" s="15">
        <f>IF(Z83=0,0,Z95/Z83)</f>
        <v>0</v>
      </c>
      <c r="AC95" s="15">
        <f>IF(AB83=0,0,AB95/AB83)</f>
        <v>0</v>
      </c>
      <c r="AE95" s="15">
        <f>IF(AD83=0,0,AD95/AD83)</f>
        <v>0</v>
      </c>
      <c r="AG95" s="15">
        <f>IF(AF83=0,0,AF95/AF83)</f>
        <v>0</v>
      </c>
      <c r="AI95" s="15">
        <f>IF(AH83=0,0,AH95/AH83)</f>
        <v>0</v>
      </c>
      <c r="AK95" s="15">
        <f>IF(AJ83=0,0,AJ95/AJ83)</f>
        <v>0</v>
      </c>
      <c r="AM95" s="15">
        <f>IF(AL83=0,0,AL95/AL83)</f>
        <v>0</v>
      </c>
      <c r="AN95" s="2">
        <v>1</v>
      </c>
      <c r="AO95" s="15">
        <f>IF(AN83=0,0,AN95/AN83)</f>
        <v>0.16666666666666666</v>
      </c>
      <c r="AP95" s="2">
        <v>1</v>
      </c>
      <c r="AQ95" s="15">
        <f>IF(AP83=0,0,AP95/AP83)</f>
        <v>0.1111111111111111</v>
      </c>
      <c r="AS95" s="15">
        <f>IF(AR83=0,0,AR95/AR83)</f>
        <v>0</v>
      </c>
      <c r="AU95" s="15">
        <f>IF(AT83=0,0,AT95/AT83)</f>
        <v>0</v>
      </c>
      <c r="AW95" s="15">
        <f>IF(AV83=0,0,AV95/AV83)</f>
        <v>0</v>
      </c>
      <c r="AY95" s="15">
        <f>IF(AX83=0,0,AX95/AX83)</f>
        <v>0</v>
      </c>
      <c r="BA95" s="15">
        <f>IF(AZ83=0,0,AZ95/AZ83)</f>
        <v>0</v>
      </c>
      <c r="BC95" s="15">
        <f>IF(BB83=0,0,BB95/BB83)</f>
        <v>0</v>
      </c>
      <c r="BD95" s="9" t="s">
        <v>62</v>
      </c>
      <c r="BE95" s="9"/>
      <c r="BF95" s="9"/>
      <c r="BG95" s="9"/>
      <c r="BH95" s="9"/>
      <c r="BI95" s="9"/>
      <c r="BJ95" s="9"/>
      <c r="BK95" s="9"/>
      <c r="BL95" s="9" t="s">
        <v>48</v>
      </c>
      <c r="BM95" s="9"/>
      <c r="BN95" s="9"/>
      <c r="BO95" s="9"/>
      <c r="BP95" s="9"/>
      <c r="BQ95" s="9"/>
    </row>
    <row r="96" spans="1:69" x14ac:dyDescent="0.25">
      <c r="A96" s="2" t="s">
        <v>11</v>
      </c>
      <c r="B96" s="2">
        <f t="shared" si="10"/>
        <v>3</v>
      </c>
      <c r="C96" s="15">
        <f t="shared" si="11"/>
        <v>1.2916666666666667</v>
      </c>
      <c r="E96" s="15">
        <f>IF(D83=0,0,D96/D83)</f>
        <v>0</v>
      </c>
      <c r="G96" s="15">
        <f>IF(F83=0,0,F96/F83)</f>
        <v>0</v>
      </c>
      <c r="I96" s="15">
        <f>IF(H83=0,0,H96/H83)</f>
        <v>0</v>
      </c>
      <c r="K96" s="15">
        <f>IF(J83=0,0,J96/J83)</f>
        <v>0</v>
      </c>
      <c r="M96" s="15">
        <f>IF(L83=0,0,L96/L83)</f>
        <v>0</v>
      </c>
      <c r="O96" s="15">
        <f>IF(N83=0,0,N96/N83)</f>
        <v>0</v>
      </c>
      <c r="Q96" s="15">
        <f>IF(P83=0,0,P96/P83)</f>
        <v>0</v>
      </c>
      <c r="S96" s="15">
        <f>IF(R83=0,0,R96/R83)</f>
        <v>0</v>
      </c>
      <c r="U96" s="15">
        <f>IF(T83=0,0,T96/T83)</f>
        <v>0</v>
      </c>
      <c r="W96" s="15">
        <f>IF(V83=0,0,V96/V83)</f>
        <v>0</v>
      </c>
      <c r="Y96" s="15">
        <f>IF(X83=0,0,X96/X83)</f>
        <v>0</v>
      </c>
      <c r="AA96" s="15">
        <f>IF(Z83=0,0,Z96/Z83)</f>
        <v>0</v>
      </c>
      <c r="AC96" s="15">
        <f>IF(AB83=0,0,AB96/AB83)</f>
        <v>0</v>
      </c>
      <c r="AE96" s="15">
        <f>IF(AD83=0,0,AD96/AD83)</f>
        <v>0</v>
      </c>
      <c r="AF96" s="2">
        <v>1</v>
      </c>
      <c r="AG96" s="15">
        <f>IF(AF83=0,0,AF96/AF83)</f>
        <v>0.125</v>
      </c>
      <c r="AH96" s="2">
        <v>1</v>
      </c>
      <c r="AI96" s="15">
        <f>IF(AH83=0,0,AH96/AH83)</f>
        <v>1</v>
      </c>
      <c r="AK96" s="15">
        <f>IF(AJ83=0,0,AJ96/AJ83)</f>
        <v>0</v>
      </c>
      <c r="AM96" s="15">
        <f>IF(AL83=0,0,AL96/AL83)</f>
        <v>0</v>
      </c>
      <c r="AN96" s="2">
        <v>1</v>
      </c>
      <c r="AO96" s="15">
        <f>IF(AN83=0,0,AN96/AN83)</f>
        <v>0.16666666666666666</v>
      </c>
      <c r="AQ96" s="15">
        <f>IF(AP83=0,0,AP96/AP83)</f>
        <v>0</v>
      </c>
      <c r="AS96" s="15">
        <f>IF(AR83=0,0,AR96/AR83)</f>
        <v>0</v>
      </c>
      <c r="AU96" s="15">
        <f>IF(AT83=0,0,AT96/AT83)</f>
        <v>0</v>
      </c>
      <c r="AW96" s="15">
        <f>IF(AV83=0,0,AV96/AV83)</f>
        <v>0</v>
      </c>
      <c r="AY96" s="15">
        <f>IF(AX83=0,0,AX96/AX83)</f>
        <v>0</v>
      </c>
      <c r="BA96" s="15">
        <f>IF(AZ83=0,0,AZ96/AZ83)</f>
        <v>0</v>
      </c>
      <c r="BC96" s="15">
        <f>IF(BB83=0,0,BB96/BB83)</f>
        <v>0</v>
      </c>
    </row>
    <row r="98" spans="1:69" ht="15.75" x14ac:dyDescent="0.3">
      <c r="D98" s="1" t="s">
        <v>14</v>
      </c>
      <c r="E98" s="1"/>
      <c r="F98" s="1" t="s">
        <v>15</v>
      </c>
      <c r="G98" s="1"/>
      <c r="H98" s="1" t="s">
        <v>16</v>
      </c>
      <c r="I98" s="1"/>
      <c r="J98" s="1" t="s">
        <v>17</v>
      </c>
      <c r="K98" s="1"/>
      <c r="L98" s="1" t="s">
        <v>18</v>
      </c>
      <c r="M98" s="1"/>
      <c r="N98" s="1" t="s">
        <v>19</v>
      </c>
      <c r="O98" s="1"/>
      <c r="P98" s="1" t="s">
        <v>20</v>
      </c>
      <c r="Q98" s="1"/>
      <c r="R98" s="1" t="s">
        <v>21</v>
      </c>
      <c r="S98" s="1"/>
      <c r="T98" s="1" t="s">
        <v>22</v>
      </c>
      <c r="U98" s="1"/>
      <c r="V98" s="1" t="s">
        <v>23</v>
      </c>
      <c r="W98" s="1"/>
      <c r="X98" s="1" t="s">
        <v>24</v>
      </c>
      <c r="Y98" s="1"/>
      <c r="Z98" s="1" t="s">
        <v>25</v>
      </c>
      <c r="AA98" s="1"/>
      <c r="AB98" s="1" t="s">
        <v>26</v>
      </c>
      <c r="AC98" s="1"/>
      <c r="AD98" s="1" t="s">
        <v>27</v>
      </c>
      <c r="AE98" s="1"/>
      <c r="AF98" s="1" t="s">
        <v>28</v>
      </c>
      <c r="AG98" s="1"/>
      <c r="AH98" s="1" t="s">
        <v>29</v>
      </c>
      <c r="AI98" s="1"/>
      <c r="AJ98" s="1" t="s">
        <v>30</v>
      </c>
      <c r="AK98" s="1"/>
      <c r="AL98" s="1" t="s">
        <v>31</v>
      </c>
      <c r="AM98" s="1"/>
      <c r="AN98" s="1" t="s">
        <v>32</v>
      </c>
      <c r="AO98" s="1"/>
      <c r="AP98" s="1" t="s">
        <v>33</v>
      </c>
      <c r="AQ98" s="1"/>
      <c r="AR98" s="1" t="s">
        <v>34</v>
      </c>
      <c r="AS98" s="1"/>
      <c r="AT98" s="1" t="s">
        <v>35</v>
      </c>
      <c r="AU98" s="1"/>
      <c r="AV98" s="1" t="s">
        <v>36</v>
      </c>
      <c r="AW98" s="1"/>
      <c r="AX98" s="1" t="s">
        <v>37</v>
      </c>
      <c r="AY98" s="1"/>
      <c r="AZ98" s="1" t="s">
        <v>38</v>
      </c>
      <c r="BA98" s="1"/>
      <c r="BB98" s="1" t="s">
        <v>39</v>
      </c>
      <c r="BC98" s="1"/>
    </row>
    <row r="99" spans="1:69" ht="15.75" x14ac:dyDescent="0.3">
      <c r="D99" s="17">
        <f>SUM(D100:D113)</f>
        <v>6</v>
      </c>
      <c r="E99" s="18"/>
      <c r="F99" s="17">
        <f>SUM(F100:F113)</f>
        <v>5</v>
      </c>
      <c r="G99" s="17"/>
      <c r="H99" s="17">
        <f>SUM(H100:H113)</f>
        <v>2</v>
      </c>
      <c r="I99" s="17"/>
      <c r="J99" s="17">
        <f>SUM(J100:J113)</f>
        <v>0</v>
      </c>
      <c r="K99" s="17"/>
      <c r="L99" s="17">
        <f>SUM(L100:L113)</f>
        <v>5</v>
      </c>
      <c r="M99" s="17"/>
      <c r="N99" s="17">
        <f>SUM(N100:N113)</f>
        <v>0</v>
      </c>
      <c r="O99" s="17"/>
      <c r="P99" s="17">
        <f>SUM(P100:P113)</f>
        <v>0</v>
      </c>
      <c r="Q99" s="17"/>
      <c r="R99" s="17">
        <f>SUM(R100:R113)</f>
        <v>2</v>
      </c>
      <c r="S99" s="17"/>
      <c r="T99" s="17">
        <f>SUM(T100:T113)</f>
        <v>5</v>
      </c>
      <c r="U99" s="17"/>
      <c r="V99" s="17">
        <f>SUM(V100:V113)</f>
        <v>0</v>
      </c>
      <c r="W99" s="17"/>
      <c r="X99" s="17">
        <f>SUM(X100:X113)</f>
        <v>0</v>
      </c>
      <c r="Y99" s="17"/>
      <c r="Z99" s="17">
        <f>SUM(Z100:Z113)</f>
        <v>2</v>
      </c>
      <c r="AA99" s="17"/>
      <c r="AB99" s="17">
        <f>SUM(AB100:AB113)</f>
        <v>2</v>
      </c>
      <c r="AC99" s="17"/>
      <c r="AD99" s="17">
        <f>SUM(AD100:AD113)</f>
        <v>2</v>
      </c>
      <c r="AE99" s="19"/>
      <c r="AF99" s="17">
        <f>SUM(AF100:AF113)</f>
        <v>8</v>
      </c>
      <c r="AG99" s="19"/>
      <c r="AH99" s="17">
        <f>SUM(AH100:AH113)</f>
        <v>1</v>
      </c>
      <c r="AI99" s="19"/>
      <c r="AJ99" s="17">
        <f>SUM(AJ100:AJ113)</f>
        <v>0</v>
      </c>
      <c r="AK99" s="19"/>
      <c r="AL99" s="17">
        <f>SUM(AL100:AL113)</f>
        <v>6</v>
      </c>
      <c r="AM99" s="19"/>
      <c r="AN99" s="17">
        <f>SUM(AN100:AN113)</f>
        <v>6</v>
      </c>
      <c r="AO99" s="19"/>
      <c r="AP99" s="17">
        <f>SUM(AP100:AP113)</f>
        <v>9</v>
      </c>
      <c r="AQ99" s="19"/>
      <c r="AR99" s="17">
        <f>SUM(AR100:AR113)</f>
        <v>3</v>
      </c>
      <c r="AS99" s="19"/>
      <c r="AT99" s="17">
        <f>SUM(AT100:AT113)</f>
        <v>0</v>
      </c>
      <c r="AU99" s="19"/>
      <c r="AV99" s="17">
        <f>SUM(AV100:AV113)</f>
        <v>0</v>
      </c>
      <c r="AW99" s="19"/>
      <c r="AX99" s="17">
        <f>SUM(AX100:AX113)</f>
        <v>0</v>
      </c>
      <c r="AY99" s="19"/>
      <c r="AZ99" s="17">
        <f>SUM(AZ100:AZ113)</f>
        <v>0</v>
      </c>
      <c r="BA99" s="19"/>
      <c r="BB99" s="17">
        <f>SUM(BB100:BB113)</f>
        <v>0</v>
      </c>
      <c r="BD99" s="9"/>
      <c r="BE99" s="9" t="s">
        <v>50</v>
      </c>
      <c r="BF99" s="9" t="s">
        <v>51</v>
      </c>
      <c r="BG99" s="9" t="s">
        <v>52</v>
      </c>
      <c r="BH99" s="9" t="s">
        <v>53</v>
      </c>
      <c r="BI99" s="9" t="s">
        <v>54</v>
      </c>
      <c r="BJ99" s="9" t="s">
        <v>55</v>
      </c>
      <c r="BK99" s="9" t="s">
        <v>56</v>
      </c>
      <c r="BL99" s="9" t="s">
        <v>57</v>
      </c>
      <c r="BM99" s="9" t="s">
        <v>58</v>
      </c>
      <c r="BN99" s="9" t="s">
        <v>59</v>
      </c>
      <c r="BO99" s="9" t="s">
        <v>60</v>
      </c>
      <c r="BP99" s="9" t="s">
        <v>61</v>
      </c>
      <c r="BQ99" s="9" t="s">
        <v>62</v>
      </c>
    </row>
    <row r="100" spans="1:69" ht="15.75" x14ac:dyDescent="0.3">
      <c r="A100" s="4" t="s">
        <v>0</v>
      </c>
      <c r="B100" s="2">
        <f t="shared" ref="B100:B112" si="12">LEN(A100)</f>
        <v>12</v>
      </c>
      <c r="C100" s="15"/>
      <c r="D100" s="2">
        <v>1</v>
      </c>
      <c r="E100" s="15">
        <f>IF(D99=0,0,D100/D99)</f>
        <v>0.16666666666666666</v>
      </c>
      <c r="G100" s="15">
        <f>IF(F99=0,0,F100/F99)</f>
        <v>0</v>
      </c>
      <c r="I100" s="15">
        <f>IF(H99=0,0,H100/H99)</f>
        <v>0</v>
      </c>
      <c r="K100" s="15">
        <f>IF(J99=0,0,J100/J99)</f>
        <v>0</v>
      </c>
      <c r="L100" s="2">
        <v>2</v>
      </c>
      <c r="M100" s="15">
        <f>IF(L99=0,0,L100/L99)</f>
        <v>0.4</v>
      </c>
      <c r="O100" s="15">
        <f>IF(N99=0,0,N100/N99)</f>
        <v>0</v>
      </c>
      <c r="Q100" s="15">
        <f>IF(P99=0,0,P100/P99)</f>
        <v>0</v>
      </c>
      <c r="S100" s="15">
        <f>IF(R99=0,0,R100/R99)</f>
        <v>0</v>
      </c>
      <c r="T100" s="2">
        <v>1</v>
      </c>
      <c r="U100" s="15">
        <f>IF(T99=0,0,T100/T99)</f>
        <v>0.2</v>
      </c>
      <c r="W100" s="15">
        <f>IF(V99=0,0,V100/V99)</f>
        <v>0</v>
      </c>
      <c r="Y100" s="15">
        <f>IF(X99=0,0,X100/X99)</f>
        <v>0</v>
      </c>
      <c r="AA100" s="15">
        <f>IF(Z99=0,0,Z100/Z99)</f>
        <v>0</v>
      </c>
      <c r="AC100" s="15">
        <f>IF(AB99=0,0,AB100/AB99)</f>
        <v>0</v>
      </c>
      <c r="AD100" s="2">
        <v>2</v>
      </c>
      <c r="AE100" s="15">
        <f>IF(AD99=0,0,AD100/AD99)</f>
        <v>1</v>
      </c>
      <c r="AG100" s="15">
        <f>IF(AF99=0,0,AF100/AF99)</f>
        <v>0</v>
      </c>
      <c r="AI100" s="15">
        <f>IF(AH99=0,0,AH100/AH99)</f>
        <v>0</v>
      </c>
      <c r="AK100" s="15">
        <f>IF(AJ99=0,0,AJ100/AJ99)</f>
        <v>0</v>
      </c>
      <c r="AL100" s="2">
        <v>1</v>
      </c>
      <c r="AM100" s="15">
        <f>IF(AL99=0,0,AL100/AL99)</f>
        <v>0.16666666666666666</v>
      </c>
      <c r="AN100" s="2">
        <v>2</v>
      </c>
      <c r="AO100" s="15">
        <f>IF(AN99=0,0,AN100/AN99)</f>
        <v>0.33333333333333331</v>
      </c>
      <c r="AP100" s="2">
        <v>2</v>
      </c>
      <c r="AQ100" s="15">
        <f>IF(AP99=0,0,AP100/AP99)</f>
        <v>0.22222222222222221</v>
      </c>
      <c r="AS100" s="15">
        <f>IF(AR99=0,0,AR100/AR99)</f>
        <v>0</v>
      </c>
      <c r="AU100" s="15">
        <f>IF(AT99=0,0,AT100/AT99)</f>
        <v>0</v>
      </c>
      <c r="AW100" s="15">
        <f>IF(AV99=0,0,AV100/AV99)</f>
        <v>0</v>
      </c>
      <c r="AY100" s="15">
        <f>IF(AX99=0,0,AX100/AX99)</f>
        <v>0</v>
      </c>
      <c r="BA100" s="15">
        <f>IF(AZ99=0,0,AZ100/AZ99)</f>
        <v>0</v>
      </c>
      <c r="BC100" s="15">
        <f>IF(BB99=0,0,BB100/BB99)</f>
        <v>0</v>
      </c>
      <c r="BD100" s="9" t="s">
        <v>51</v>
      </c>
      <c r="BE100" s="9" t="s">
        <v>42</v>
      </c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</row>
    <row r="101" spans="1:69" ht="15.75" x14ac:dyDescent="0.3">
      <c r="A101" s="4" t="s">
        <v>2</v>
      </c>
      <c r="B101" s="2">
        <f t="shared" si="12"/>
        <v>9</v>
      </c>
      <c r="C101" s="15"/>
      <c r="D101" s="2">
        <v>0</v>
      </c>
      <c r="E101" s="15">
        <f>IF(D99=0,0,D101/D99)</f>
        <v>0</v>
      </c>
      <c r="G101" s="15">
        <f>IF(F99=0,0,F101/F99)</f>
        <v>0</v>
      </c>
      <c r="H101" s="2">
        <v>1</v>
      </c>
      <c r="I101" s="15">
        <f>IF(H99=0,0,H101/H99)</f>
        <v>0.5</v>
      </c>
      <c r="J101" s="2">
        <v>0</v>
      </c>
      <c r="K101" s="15">
        <f>IF(J99=0,0,J101/J99)</f>
        <v>0</v>
      </c>
      <c r="L101" s="2">
        <v>0</v>
      </c>
      <c r="M101" s="15">
        <f>IF(L99=0,0,L101/L99)</f>
        <v>0</v>
      </c>
      <c r="O101" s="15">
        <f>IF(N99=0,0,N101/N99)</f>
        <v>0</v>
      </c>
      <c r="Q101" s="15">
        <f>IF(P99=0,0,P101/P99)</f>
        <v>0</v>
      </c>
      <c r="S101" s="15">
        <f>IF(R99=0,0,R101/R99)</f>
        <v>0</v>
      </c>
      <c r="T101" s="2">
        <v>0</v>
      </c>
      <c r="U101" s="15">
        <f>IF(T99=0,0,T101/T99)</f>
        <v>0</v>
      </c>
      <c r="W101" s="15">
        <f>IF(V99=0,0,V101/V99)</f>
        <v>0</v>
      </c>
      <c r="Y101" s="15">
        <f>IF(X99=0,0,X101/X99)</f>
        <v>0</v>
      </c>
      <c r="AA101" s="15">
        <f>IF(Z99=0,0,Z101/Z99)</f>
        <v>0</v>
      </c>
      <c r="AC101" s="15">
        <f>IF(AB99=0,0,AB101/AB99)</f>
        <v>0</v>
      </c>
      <c r="AE101" s="15">
        <f>IF(AD99=0,0,AD101/AD99)</f>
        <v>0</v>
      </c>
      <c r="AF101" s="2">
        <v>0</v>
      </c>
      <c r="AG101" s="15">
        <f>IF(AF99=0,0,AF101/AF99)</f>
        <v>0</v>
      </c>
      <c r="AI101" s="15">
        <f>IF(AH99=0,0,AH101/AH99)</f>
        <v>0</v>
      </c>
      <c r="AK101" s="15">
        <f>IF(AJ99=0,0,AJ101/AJ99)</f>
        <v>0</v>
      </c>
      <c r="AM101" s="15">
        <f>IF(AL99=0,0,AL101/AL99)</f>
        <v>0</v>
      </c>
      <c r="AN101" s="2">
        <v>0</v>
      </c>
      <c r="AO101" s="15">
        <f>IF(AN99=0,0,AN101/AN99)</f>
        <v>0</v>
      </c>
      <c r="AP101" s="2">
        <v>1</v>
      </c>
      <c r="AQ101" s="15">
        <f>IF(AP99=0,0,AP101/AP99)</f>
        <v>0.1111111111111111</v>
      </c>
      <c r="AS101" s="15">
        <f>IF(AR99=0,0,AR101/AR99)</f>
        <v>0</v>
      </c>
      <c r="AU101" s="15">
        <f>IF(AT99=0,0,AT101/AT99)</f>
        <v>0</v>
      </c>
      <c r="AW101" s="15">
        <f>IF(AV99=0,0,AV101/AV99)</f>
        <v>0</v>
      </c>
      <c r="AY101" s="15">
        <f>IF(AX99=0,0,AX101/AX99)</f>
        <v>0</v>
      </c>
      <c r="BA101" s="15">
        <f>IF(AZ99=0,0,AZ101/AZ99)</f>
        <v>0</v>
      </c>
      <c r="BC101" s="15">
        <f>IF(BB99=0,0,BB101/BB99)</f>
        <v>0</v>
      </c>
      <c r="BD101" s="9" t="s">
        <v>52</v>
      </c>
      <c r="BE101" s="9" t="s">
        <v>43</v>
      </c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</row>
    <row r="102" spans="1:69" ht="15.75" x14ac:dyDescent="0.3">
      <c r="A102" s="4" t="s">
        <v>1</v>
      </c>
      <c r="B102" s="2">
        <f t="shared" si="12"/>
        <v>9</v>
      </c>
      <c r="C102" s="15"/>
      <c r="E102" s="15">
        <f>IF(D99=0,0,D102/D99)</f>
        <v>0</v>
      </c>
      <c r="F102" s="2">
        <v>1</v>
      </c>
      <c r="G102" s="15">
        <f>IF(F99=0,0,F102/F99)</f>
        <v>0.2</v>
      </c>
      <c r="I102" s="15">
        <f>IF(H99=0,0,H102/H99)</f>
        <v>0</v>
      </c>
      <c r="J102" s="2">
        <v>0</v>
      </c>
      <c r="K102" s="15">
        <f>IF(J99=0,0,J102/J99)</f>
        <v>0</v>
      </c>
      <c r="L102" s="2">
        <v>0</v>
      </c>
      <c r="M102" s="15">
        <f>IF(L99=0,0,L102/L99)</f>
        <v>0</v>
      </c>
      <c r="O102" s="15">
        <f>IF(N99=0,0,N102/N99)</f>
        <v>0</v>
      </c>
      <c r="Q102" s="15">
        <f>IF(P99=0,0,P102/P99)</f>
        <v>0</v>
      </c>
      <c r="S102" s="15">
        <f>IF(R99=0,0,R102/R99)</f>
        <v>0</v>
      </c>
      <c r="T102" s="2">
        <v>1</v>
      </c>
      <c r="U102" s="15">
        <f>IF(T99=0,0,T102/T99)</f>
        <v>0.2</v>
      </c>
      <c r="W102" s="15">
        <f>IF(V99=0,0,V102/V99)</f>
        <v>0</v>
      </c>
      <c r="Y102" s="15">
        <f>IF(X99=0,0,X102/X99)</f>
        <v>0</v>
      </c>
      <c r="AA102" s="15">
        <f>IF(Z99=0,0,Z102/Z99)</f>
        <v>0</v>
      </c>
      <c r="AC102" s="15">
        <f>IF(AB99=0,0,AB102/AB99)</f>
        <v>0</v>
      </c>
      <c r="AE102" s="15">
        <f>IF(AD99=0,0,AD102/AD99)</f>
        <v>0</v>
      </c>
      <c r="AF102" s="2">
        <v>1</v>
      </c>
      <c r="AG102" s="15">
        <f>IF(AF99=0,0,AF102/AF99)</f>
        <v>0.125</v>
      </c>
      <c r="AI102" s="15">
        <f>IF(AH99=0,0,AH102/AH99)</f>
        <v>0</v>
      </c>
      <c r="AK102" s="15">
        <f>IF(AJ99=0,0,AJ102/AJ99)</f>
        <v>0</v>
      </c>
      <c r="AL102" s="2">
        <v>0</v>
      </c>
      <c r="AM102" s="15">
        <f>IF(AL99=0,0,AL102/AL99)</f>
        <v>0</v>
      </c>
      <c r="AN102" s="2">
        <v>1</v>
      </c>
      <c r="AO102" s="15">
        <f>IF(AN99=0,0,AN102/AN99)</f>
        <v>0.16666666666666666</v>
      </c>
      <c r="AP102" s="2">
        <v>1</v>
      </c>
      <c r="AQ102" s="15">
        <f>IF(AP99=0,0,AP102/AP99)</f>
        <v>0.1111111111111111</v>
      </c>
      <c r="AS102" s="15">
        <f>IF(AR99=0,0,AR102/AR99)</f>
        <v>0</v>
      </c>
      <c r="AU102" s="15">
        <f>IF(AT99=0,0,AT102/AT99)</f>
        <v>0</v>
      </c>
      <c r="AW102" s="15">
        <f>IF(AV99=0,0,AV102/AV99)</f>
        <v>0</v>
      </c>
      <c r="AY102" s="15">
        <f>IF(AX99=0,0,AX102/AX99)</f>
        <v>0</v>
      </c>
      <c r="BA102" s="15">
        <f>IF(AZ99=0,0,AZ102/AZ99)</f>
        <v>0</v>
      </c>
      <c r="BC102" s="15">
        <f>IF(BB99=0,0,BB102/BB99)</f>
        <v>0</v>
      </c>
      <c r="BD102" s="9" t="s">
        <v>53</v>
      </c>
      <c r="BE102" s="9" t="s">
        <v>44</v>
      </c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</row>
    <row r="103" spans="1:69" x14ac:dyDescent="0.25">
      <c r="A103" s="2" t="s">
        <v>3</v>
      </c>
      <c r="B103" s="2">
        <f t="shared" si="12"/>
        <v>7</v>
      </c>
      <c r="C103" s="15"/>
      <c r="D103" s="2">
        <v>1</v>
      </c>
      <c r="E103" s="15">
        <f>IF(D99=0,0,D103/D99)</f>
        <v>0.16666666666666666</v>
      </c>
      <c r="F103" s="2">
        <v>1</v>
      </c>
      <c r="G103" s="15">
        <f>IF(F99=0,0,F103/F99)</f>
        <v>0.2</v>
      </c>
      <c r="I103" s="15">
        <f>IF(H99=0,0,H103/H99)</f>
        <v>0</v>
      </c>
      <c r="K103" s="15">
        <f>IF(J99=0,0,J103/J99)</f>
        <v>0</v>
      </c>
      <c r="M103" s="15">
        <f>IF(L99=0,0,L103/L99)</f>
        <v>0</v>
      </c>
      <c r="O103" s="15">
        <f>IF(N99=0,0,N103/N99)</f>
        <v>0</v>
      </c>
      <c r="Q103" s="15">
        <f>IF(P99=0,0,P103/P99)</f>
        <v>0</v>
      </c>
      <c r="S103" s="15">
        <f>IF(R99=0,0,R103/R99)</f>
        <v>0</v>
      </c>
      <c r="U103" s="15">
        <f>IF(T99=0,0,T103/T99)</f>
        <v>0</v>
      </c>
      <c r="W103" s="15">
        <f>IF(V99=0,0,V103/V99)</f>
        <v>0</v>
      </c>
      <c r="Y103" s="15">
        <f>IF(X99=0,0,X103/X99)</f>
        <v>0</v>
      </c>
      <c r="AA103" s="15">
        <f>IF(Z99=0,0,Z103/Z99)</f>
        <v>0</v>
      </c>
      <c r="AC103" s="15">
        <f>IF(AB99=0,0,AB103/AB99)</f>
        <v>0</v>
      </c>
      <c r="AE103" s="15">
        <f>IF(AD99=0,0,AD103/AD99)</f>
        <v>0</v>
      </c>
      <c r="AF103" s="2">
        <v>1</v>
      </c>
      <c r="AG103" s="15">
        <f>IF(AF99=0,0,AF103/AF99)</f>
        <v>0.125</v>
      </c>
      <c r="AI103" s="15">
        <f>IF(AH99=0,0,AH103/AH99)</f>
        <v>0</v>
      </c>
      <c r="AK103" s="15">
        <f>IF(AJ99=0,0,AJ103/AJ99)</f>
        <v>0</v>
      </c>
      <c r="AL103" s="2">
        <v>1</v>
      </c>
      <c r="AM103" s="15">
        <f>IF(AL99=0,0,AL103/AL99)</f>
        <v>0.16666666666666666</v>
      </c>
      <c r="AO103" s="15">
        <f>IF(AN99=0,0,AN103/AN99)</f>
        <v>0</v>
      </c>
      <c r="AP103" s="2">
        <v>1</v>
      </c>
      <c r="AQ103" s="15">
        <f>IF(AP99=0,0,AP103/AP99)</f>
        <v>0.1111111111111111</v>
      </c>
      <c r="AR103" s="2">
        <v>1</v>
      </c>
      <c r="AS103" s="15">
        <f>IF(AR99=0,0,AR103/AR99)</f>
        <v>0.33333333333333331</v>
      </c>
      <c r="AU103" s="15">
        <f>IF(AT99=0,0,AT103/AT99)</f>
        <v>0</v>
      </c>
      <c r="AW103" s="15">
        <f>IF(AV99=0,0,AV103/AV99)</f>
        <v>0</v>
      </c>
      <c r="AY103" s="15">
        <f>IF(AX99=0,0,AX103/AX99)</f>
        <v>0</v>
      </c>
      <c r="BA103" s="15">
        <f>IF(AZ99=0,0,AZ103/AZ99)</f>
        <v>0</v>
      </c>
      <c r="BC103" s="15">
        <f>IF(BB99=0,0,BB103/BB99)</f>
        <v>0</v>
      </c>
      <c r="BD103" s="9" t="s">
        <v>54</v>
      </c>
      <c r="BE103" s="9" t="s">
        <v>45</v>
      </c>
      <c r="BF103" s="9" t="s">
        <v>47</v>
      </c>
      <c r="BG103" s="9" t="s">
        <v>44</v>
      </c>
      <c r="BH103" s="9" t="s">
        <v>42</v>
      </c>
      <c r="BI103" s="9" t="s">
        <v>49</v>
      </c>
      <c r="BJ103" s="9" t="s">
        <v>63</v>
      </c>
      <c r="BK103" s="9" t="s">
        <v>46</v>
      </c>
      <c r="BL103" s="9" t="s">
        <v>64</v>
      </c>
      <c r="BM103" s="9" t="s">
        <v>63</v>
      </c>
      <c r="BN103" s="9"/>
      <c r="BO103" s="9"/>
      <c r="BP103" s="9"/>
      <c r="BQ103" s="9"/>
    </row>
    <row r="104" spans="1:69" ht="15.75" x14ac:dyDescent="0.3">
      <c r="A104" s="4" t="s">
        <v>5</v>
      </c>
      <c r="B104" s="2">
        <f t="shared" si="12"/>
        <v>7</v>
      </c>
      <c r="C104" s="15"/>
      <c r="D104" s="2">
        <v>1</v>
      </c>
      <c r="E104" s="15">
        <f>IF(D99=0,0,D104/D99)</f>
        <v>0.16666666666666666</v>
      </c>
      <c r="F104" s="2">
        <v>1</v>
      </c>
      <c r="G104" s="15">
        <f>IF(F99=0,0,F104/F99)</f>
        <v>0.2</v>
      </c>
      <c r="I104" s="15">
        <f>IF(H99=0,0,H104/H99)</f>
        <v>0</v>
      </c>
      <c r="K104" s="15">
        <f>IF(J99=0,0,J104/J99)</f>
        <v>0</v>
      </c>
      <c r="M104" s="15">
        <f>IF(L99=0,0,L104/L99)</f>
        <v>0</v>
      </c>
      <c r="O104" s="15">
        <f>IF(N99=0,0,N104/N99)</f>
        <v>0</v>
      </c>
      <c r="Q104" s="15">
        <f>IF(P99=0,0,P104/P99)</f>
        <v>0</v>
      </c>
      <c r="R104" s="2">
        <v>1</v>
      </c>
      <c r="S104" s="15">
        <f>IF(R99=0,0,R104/R99)</f>
        <v>0.5</v>
      </c>
      <c r="T104" s="2">
        <v>0</v>
      </c>
      <c r="U104" s="15">
        <f>IF(T99=0,0,T104/T99)</f>
        <v>0</v>
      </c>
      <c r="W104" s="15">
        <f>IF(V99=0,0,V104/V99)</f>
        <v>0</v>
      </c>
      <c r="Y104" s="15">
        <f>IF(X99=0,0,X104/X99)</f>
        <v>0</v>
      </c>
      <c r="AA104" s="15">
        <f>IF(Z99=0,0,Z104/Z99)</f>
        <v>0</v>
      </c>
      <c r="AC104" s="15">
        <f>IF(AB99=0,0,AB104/AB99)</f>
        <v>0</v>
      </c>
      <c r="AE104" s="15">
        <f>IF(AD99=0,0,AD104/AD99)</f>
        <v>0</v>
      </c>
      <c r="AG104" s="15">
        <f>IF(AF99=0,0,AF104/AF99)</f>
        <v>0</v>
      </c>
      <c r="AI104" s="15">
        <f>IF(AH99=0,0,AH104/AH99)</f>
        <v>0</v>
      </c>
      <c r="AK104" s="15">
        <f>IF(AJ99=0,0,AJ104/AJ99)</f>
        <v>0</v>
      </c>
      <c r="AM104" s="15">
        <f>IF(AL99=0,0,AL104/AL99)</f>
        <v>0</v>
      </c>
      <c r="AO104" s="15">
        <f>IF(AN99=0,0,AN104/AN99)</f>
        <v>0</v>
      </c>
      <c r="AP104" s="2">
        <v>1</v>
      </c>
      <c r="AQ104" s="15">
        <f>IF(AP99=0,0,AP104/AP99)</f>
        <v>0.1111111111111111</v>
      </c>
      <c r="AS104" s="15">
        <f>IF(AR99=0,0,AR104/AR99)</f>
        <v>0</v>
      </c>
      <c r="AU104" s="15">
        <f>IF(AT99=0,0,AT104/AT99)</f>
        <v>0</v>
      </c>
      <c r="AW104" s="15">
        <f>IF(AV99=0,0,AV104/AV99)</f>
        <v>0</v>
      </c>
      <c r="AY104" s="15">
        <f>IF(AX99=0,0,AX104/AX99)</f>
        <v>0</v>
      </c>
      <c r="BA104" s="15">
        <f>IF(AZ99=0,0,AZ104/AZ99)</f>
        <v>0</v>
      </c>
      <c r="BC104" s="15">
        <f>IF(BB99=0,0,BB104/BB99)</f>
        <v>0</v>
      </c>
      <c r="BD104" s="9" t="s">
        <v>55</v>
      </c>
      <c r="BE104" s="9" t="s">
        <v>46</v>
      </c>
      <c r="BF104" s="9"/>
      <c r="BG104" s="9"/>
      <c r="BH104" s="9"/>
      <c r="BI104" s="9"/>
      <c r="BJ104" s="9"/>
      <c r="BK104" s="9"/>
      <c r="BL104" s="9" t="s">
        <v>42</v>
      </c>
      <c r="BM104" s="9"/>
      <c r="BN104" s="9"/>
      <c r="BO104" s="9"/>
      <c r="BP104" s="9"/>
      <c r="BQ104" s="9"/>
    </row>
    <row r="105" spans="1:69" x14ac:dyDescent="0.25">
      <c r="A105" s="2" t="s">
        <v>4</v>
      </c>
      <c r="B105" s="2">
        <f t="shared" si="12"/>
        <v>7</v>
      </c>
      <c r="C105" s="15">
        <f t="shared" ref="C105:C112" si="13">E105+G105+I105+K105+M105+O105+Q105+S105+U105+W105+Y105+AA105+AC105+AE105+AG105+AI105+AK105+AM105+AO105+AQ105+AS105+AU105+AW105+AY105+BA105+BC105</f>
        <v>1.45</v>
      </c>
      <c r="D105" s="2">
        <v>1</v>
      </c>
      <c r="E105" s="15">
        <f>IF(D99=0,0,D105/D99)</f>
        <v>0.16666666666666666</v>
      </c>
      <c r="G105" s="15">
        <f>IF(F99=0,0,F105/F99)</f>
        <v>0</v>
      </c>
      <c r="I105" s="15">
        <f>IF(H99=0,0,H105/H99)</f>
        <v>0</v>
      </c>
      <c r="K105" s="15">
        <f>IF(J99=0,0,J105/J99)</f>
        <v>0</v>
      </c>
      <c r="M105" s="15">
        <f>IF(L99=0,0,L105/L99)</f>
        <v>0</v>
      </c>
      <c r="O105" s="15">
        <f>IF(N99=0,0,N105/N99)</f>
        <v>0</v>
      </c>
      <c r="Q105" s="15">
        <f>IF(P99=0,0,P105/P99)</f>
        <v>0</v>
      </c>
      <c r="R105" s="2">
        <v>1</v>
      </c>
      <c r="S105" s="15">
        <f>IF(R99=0,0,R105/R99)</f>
        <v>0.5</v>
      </c>
      <c r="T105" s="2">
        <v>1</v>
      </c>
      <c r="U105" s="15">
        <f>IF(T99=0,0,T105/T99)</f>
        <v>0.2</v>
      </c>
      <c r="W105" s="15">
        <f>IF(V99=0,0,V105/V99)</f>
        <v>0</v>
      </c>
      <c r="Y105" s="15">
        <f>IF(X99=0,0,X105/X99)</f>
        <v>0</v>
      </c>
      <c r="AA105" s="15">
        <f>IF(Z99=0,0,Z105/Z99)</f>
        <v>0</v>
      </c>
      <c r="AC105" s="15">
        <f>IF(AB99=0,0,AB105/AB99)</f>
        <v>0</v>
      </c>
      <c r="AE105" s="15">
        <f>IF(AD99=0,0,AD105/AD99)</f>
        <v>0</v>
      </c>
      <c r="AF105" s="2">
        <v>2</v>
      </c>
      <c r="AG105" s="15">
        <f>IF(AF99=0,0,AF105/AF99)</f>
        <v>0.25</v>
      </c>
      <c r="AI105" s="15">
        <f>IF(AH99=0,0,AH105/AH99)</f>
        <v>0</v>
      </c>
      <c r="AK105" s="15">
        <f>IF(AJ99=0,0,AJ105/AJ99)</f>
        <v>0</v>
      </c>
      <c r="AL105" s="2">
        <v>2</v>
      </c>
      <c r="AM105" s="15">
        <f>IF(AL99=0,0,AL105/AL99)</f>
        <v>0.33333333333333331</v>
      </c>
      <c r="AO105" s="15">
        <f>IF(AN99=0,0,AN105/AN99)</f>
        <v>0</v>
      </c>
      <c r="AQ105" s="15">
        <f>IF(AP99=0,0,AP105/AP99)</f>
        <v>0</v>
      </c>
      <c r="AS105" s="15">
        <f>IF(AR99=0,0,AR105/AR99)</f>
        <v>0</v>
      </c>
      <c r="AU105" s="15">
        <f>IF(AT99=0,0,AT105/AT99)</f>
        <v>0</v>
      </c>
      <c r="AW105" s="15">
        <f>IF(AV99=0,0,AV105/AV99)</f>
        <v>0</v>
      </c>
      <c r="AY105" s="15">
        <f>IF(AX99=0,0,AX105/AX99)</f>
        <v>0</v>
      </c>
      <c r="BA105" s="15">
        <f>IF(AZ99=0,0,AZ105/AZ99)</f>
        <v>0</v>
      </c>
      <c r="BC105" s="15">
        <f>IF(BB99=0,0,BB105/BB99)</f>
        <v>0</v>
      </c>
      <c r="BD105" s="9" t="s">
        <v>56</v>
      </c>
      <c r="BE105" s="9" t="s">
        <v>45</v>
      </c>
      <c r="BF105" s="9"/>
      <c r="BG105" s="9"/>
      <c r="BH105" s="9"/>
      <c r="BI105" s="9"/>
      <c r="BJ105" s="9"/>
      <c r="BK105" s="9"/>
      <c r="BL105" s="9" t="s">
        <v>47</v>
      </c>
      <c r="BM105" s="9"/>
      <c r="BN105" s="9"/>
      <c r="BO105" s="9"/>
      <c r="BP105" s="9"/>
      <c r="BQ105" s="9"/>
    </row>
    <row r="106" spans="1:69" x14ac:dyDescent="0.25">
      <c r="A106" s="2" t="s">
        <v>7</v>
      </c>
      <c r="B106" s="2">
        <f t="shared" si="12"/>
        <v>7</v>
      </c>
      <c r="C106" s="15">
        <f t="shared" si="13"/>
        <v>2.25</v>
      </c>
      <c r="E106" s="15">
        <f>IF(D99=0,0,D106/D99)</f>
        <v>0</v>
      </c>
      <c r="G106" s="15">
        <f>IF(F99=0,0,F106/F99)</f>
        <v>0</v>
      </c>
      <c r="H106" s="2">
        <v>1</v>
      </c>
      <c r="I106" s="15">
        <f>IF(H99=0,0,H106/H99)</f>
        <v>0.5</v>
      </c>
      <c r="K106" s="15">
        <f>IF(J99=0,0,J106/J99)</f>
        <v>0</v>
      </c>
      <c r="M106" s="15">
        <f>IF(L99=0,0,L106/L99)</f>
        <v>0</v>
      </c>
      <c r="O106" s="15">
        <f>IF(N99=0,0,N106/N99)</f>
        <v>0</v>
      </c>
      <c r="Q106" s="15">
        <f>IF(P99=0,0,P106/P99)</f>
        <v>0</v>
      </c>
      <c r="S106" s="15">
        <f>IF(R99=0,0,R106/R99)</f>
        <v>0</v>
      </c>
      <c r="U106" s="15">
        <f>IF(T99=0,0,T106/T99)</f>
        <v>0</v>
      </c>
      <c r="W106" s="15">
        <f>IF(V99=0,0,V106/V99)</f>
        <v>0</v>
      </c>
      <c r="Y106" s="15">
        <f>IF(X99=0,0,X106/X99)</f>
        <v>0</v>
      </c>
      <c r="Z106" s="2">
        <v>1</v>
      </c>
      <c r="AA106" s="15">
        <f>IF(Z99=0,0,Z106/Z99)</f>
        <v>0.5</v>
      </c>
      <c r="AB106" s="2">
        <v>1</v>
      </c>
      <c r="AC106" s="15">
        <f>IF(AB99=0,0,AB106/AB99)</f>
        <v>0.5</v>
      </c>
      <c r="AE106" s="15">
        <f>IF(AD99=0,0,AD106/AD99)</f>
        <v>0</v>
      </c>
      <c r="AF106" s="2">
        <v>2</v>
      </c>
      <c r="AG106" s="15">
        <f>IF(AF99=0,0,AF106/AF99)</f>
        <v>0.25</v>
      </c>
      <c r="AI106" s="15">
        <f>IF(AH99=0,0,AH106/AH99)</f>
        <v>0</v>
      </c>
      <c r="AK106" s="15">
        <f>IF(AJ99=0,0,AJ106/AJ99)</f>
        <v>0</v>
      </c>
      <c r="AM106" s="15">
        <f>IF(AL99=0,0,AL106/AL99)</f>
        <v>0</v>
      </c>
      <c r="AN106" s="2">
        <v>1</v>
      </c>
      <c r="AO106" s="15">
        <f>IF(AN99=0,0,AN106/AN99)</f>
        <v>0.16666666666666666</v>
      </c>
      <c r="AQ106" s="15">
        <f>IF(AP99=0,0,AP106/AP99)</f>
        <v>0</v>
      </c>
      <c r="AR106" s="2">
        <v>1</v>
      </c>
      <c r="AS106" s="15">
        <f>IF(AR99=0,0,AR106/AR99)</f>
        <v>0.33333333333333331</v>
      </c>
      <c r="AU106" s="15">
        <f>IF(AT99=0,0,AT106/AT99)</f>
        <v>0</v>
      </c>
      <c r="AW106" s="15">
        <f>IF(AV99=0,0,AV106/AV99)</f>
        <v>0</v>
      </c>
      <c r="AY106" s="15">
        <f>IF(AX99=0,0,AX106/AX99)</f>
        <v>0</v>
      </c>
      <c r="BA106" s="15">
        <f>IF(AZ99=0,0,AZ106/AZ99)</f>
        <v>0</v>
      </c>
      <c r="BC106" s="15">
        <f>IF(BB99=0,0,BB106/BB99)</f>
        <v>0</v>
      </c>
      <c r="BD106" s="9" t="s">
        <v>57</v>
      </c>
      <c r="BE106" s="9" t="s">
        <v>47</v>
      </c>
      <c r="BF106" s="9"/>
      <c r="BG106" s="9"/>
      <c r="BH106" s="9"/>
      <c r="BI106" s="9"/>
      <c r="BJ106" s="9"/>
      <c r="BK106" s="9"/>
      <c r="BL106" s="9" t="s">
        <v>65</v>
      </c>
      <c r="BM106" s="9"/>
      <c r="BN106" s="9"/>
      <c r="BO106" s="9"/>
      <c r="BP106" s="9"/>
      <c r="BQ106" s="9"/>
    </row>
    <row r="107" spans="1:69" x14ac:dyDescent="0.25">
      <c r="A107" s="2" t="s">
        <v>6</v>
      </c>
      <c r="B107" s="2">
        <f t="shared" si="12"/>
        <v>5</v>
      </c>
      <c r="C107" s="15">
        <f t="shared" si="13"/>
        <v>0.8472222222222221</v>
      </c>
      <c r="E107" s="15">
        <f>IF(D99=0,0,D107/D99)</f>
        <v>0</v>
      </c>
      <c r="G107" s="15">
        <f>IF(F99=0,0,F107/F99)</f>
        <v>0</v>
      </c>
      <c r="I107" s="15">
        <f>IF(H99=0,0,H107/H99)</f>
        <v>0</v>
      </c>
      <c r="K107" s="15">
        <f>IF(J99=0,0,J107/J99)</f>
        <v>0</v>
      </c>
      <c r="M107" s="15">
        <f>IF(L99=0,0,L107/L99)</f>
        <v>0</v>
      </c>
      <c r="O107" s="15">
        <f>IF(N99=0,0,N107/N99)</f>
        <v>0</v>
      </c>
      <c r="Q107" s="15">
        <f>IF(P99=0,0,P107/P99)</f>
        <v>0</v>
      </c>
      <c r="S107" s="15">
        <f>IF(R99=0,0,R107/R99)</f>
        <v>0</v>
      </c>
      <c r="U107" s="15">
        <f>IF(T99=0,0,T107/T99)</f>
        <v>0</v>
      </c>
      <c r="W107" s="15">
        <f>IF(V99=0,0,V107/V99)</f>
        <v>0</v>
      </c>
      <c r="Y107" s="15">
        <f>IF(X99=0,0,X107/X99)</f>
        <v>0</v>
      </c>
      <c r="AA107" s="15">
        <f>IF(Z99=0,0,Z107/Z99)</f>
        <v>0</v>
      </c>
      <c r="AC107" s="15">
        <f>IF(AB99=0,0,AB107/AB99)</f>
        <v>0</v>
      </c>
      <c r="AE107" s="15">
        <f>IF(AD99=0,0,AD107/AD99)</f>
        <v>0</v>
      </c>
      <c r="AF107" s="2">
        <v>1</v>
      </c>
      <c r="AG107" s="15">
        <f>IF(AF99=0,0,AF107/AF99)</f>
        <v>0.125</v>
      </c>
      <c r="AI107" s="15">
        <f>IF(AH99=0,0,AH107/AH99)</f>
        <v>0</v>
      </c>
      <c r="AK107" s="15">
        <f>IF(AJ99=0,0,AJ107/AJ99)</f>
        <v>0</v>
      </c>
      <c r="AL107" s="2">
        <v>1</v>
      </c>
      <c r="AM107" s="15">
        <f>IF(AL99=0,0,AL107/AL99)</f>
        <v>0.16666666666666666</v>
      </c>
      <c r="AO107" s="15">
        <f>IF(AN99=0,0,AN107/AN99)</f>
        <v>0</v>
      </c>
      <c r="AP107" s="2">
        <v>2</v>
      </c>
      <c r="AQ107" s="15">
        <f>IF(AP99=0,0,AP107/AP99)</f>
        <v>0.22222222222222221</v>
      </c>
      <c r="AR107" s="2">
        <v>1</v>
      </c>
      <c r="AS107" s="15">
        <f>IF(AR99=0,0,AR107/AR99)</f>
        <v>0.33333333333333331</v>
      </c>
      <c r="AU107" s="15">
        <f>IF(AT99=0,0,AT107/AT99)</f>
        <v>0</v>
      </c>
      <c r="AW107" s="15">
        <f>IF(AV99=0,0,AV107/AV99)</f>
        <v>0</v>
      </c>
      <c r="AY107" s="15">
        <f>IF(AX99=0,0,AX107/AX99)</f>
        <v>0</v>
      </c>
      <c r="BA107" s="15">
        <f>IF(AZ99=0,0,AZ107/AZ99)</f>
        <v>0</v>
      </c>
      <c r="BC107" s="15">
        <f>IF(BB99=0,0,BB107/BB99)</f>
        <v>0</v>
      </c>
      <c r="BD107" s="9" t="s">
        <v>58</v>
      </c>
      <c r="BE107" s="9" t="s">
        <v>47</v>
      </c>
      <c r="BF107" s="9"/>
      <c r="BG107" s="9"/>
      <c r="BH107" s="9"/>
      <c r="BI107" s="9"/>
      <c r="BJ107" s="9"/>
      <c r="BK107" s="9"/>
      <c r="BL107" s="9" t="s">
        <v>63</v>
      </c>
      <c r="BM107" s="9"/>
      <c r="BN107" s="9"/>
      <c r="BO107" s="9"/>
      <c r="BP107" s="9"/>
      <c r="BQ107" s="9"/>
    </row>
    <row r="108" spans="1:69" x14ac:dyDescent="0.25">
      <c r="A108" s="2" t="s">
        <v>8</v>
      </c>
      <c r="B108" s="2">
        <f t="shared" si="12"/>
        <v>5</v>
      </c>
      <c r="C108" s="15">
        <f t="shared" si="13"/>
        <v>1.2666666666666668</v>
      </c>
      <c r="E108" s="15">
        <f>IF(D99=0,0,D108/D99)</f>
        <v>0</v>
      </c>
      <c r="F108" s="2">
        <v>1</v>
      </c>
      <c r="G108" s="15">
        <f>IF(F99=0,0,F108/F99)</f>
        <v>0.2</v>
      </c>
      <c r="I108" s="15">
        <f>IF(H99=0,0,H108/H99)</f>
        <v>0</v>
      </c>
      <c r="K108" s="15">
        <f>IF(J99=0,0,J108/J99)</f>
        <v>0</v>
      </c>
      <c r="L108" s="2">
        <v>2</v>
      </c>
      <c r="M108" s="15">
        <f>IF(L99=0,0,L108/L99)</f>
        <v>0.4</v>
      </c>
      <c r="O108" s="15">
        <f>IF(N99=0,0,N108/N99)</f>
        <v>0</v>
      </c>
      <c r="Q108" s="15">
        <f>IF(P99=0,0,P108/P99)</f>
        <v>0</v>
      </c>
      <c r="S108" s="15">
        <f>IF(R99=0,0,R108/R99)</f>
        <v>0</v>
      </c>
      <c r="U108" s="15">
        <f>IF(T99=0,0,T108/T99)</f>
        <v>0</v>
      </c>
      <c r="W108" s="15">
        <f>IF(V99=0,0,V108/V99)</f>
        <v>0</v>
      </c>
      <c r="Y108" s="15">
        <f>IF(X99=0,0,X108/X99)</f>
        <v>0</v>
      </c>
      <c r="Z108" s="2">
        <v>1</v>
      </c>
      <c r="AA108" s="15">
        <f>IF(Z99=0,0,Z108/Z99)</f>
        <v>0.5</v>
      </c>
      <c r="AC108" s="15">
        <f>IF(AB99=0,0,AB108/AB99)</f>
        <v>0</v>
      </c>
      <c r="AE108" s="15">
        <f>IF(AD99=0,0,AD108/AD99)</f>
        <v>0</v>
      </c>
      <c r="AG108" s="15">
        <f>IF(AF99=0,0,AF108/AF99)</f>
        <v>0</v>
      </c>
      <c r="AI108" s="15">
        <f>IF(AH99=0,0,AH108/AH99)</f>
        <v>0</v>
      </c>
      <c r="AK108" s="15">
        <f>IF(AJ99=0,0,AJ108/AJ99)</f>
        <v>0</v>
      </c>
      <c r="AL108" s="2">
        <v>1</v>
      </c>
      <c r="AM108" s="15">
        <f>IF(AL99=0,0,AL108/AL99)</f>
        <v>0.16666666666666666</v>
      </c>
      <c r="AO108" s="15">
        <f>IF(AN99=0,0,AN108/AN99)</f>
        <v>0</v>
      </c>
      <c r="AQ108" s="15">
        <f>IF(AP99=0,0,AP108/AP99)</f>
        <v>0</v>
      </c>
      <c r="AS108" s="15">
        <f>IF(AR99=0,0,AR108/AR99)</f>
        <v>0</v>
      </c>
      <c r="AU108" s="15">
        <f>IF(AT99=0,0,AT108/AT99)</f>
        <v>0</v>
      </c>
      <c r="AW108" s="15">
        <f>IF(AV99=0,0,AV108/AV99)</f>
        <v>0</v>
      </c>
      <c r="AY108" s="15">
        <f>IF(AX99=0,0,AX108/AX99)</f>
        <v>0</v>
      </c>
      <c r="BA108" s="15">
        <f>IF(AZ99=0,0,AZ108/AZ99)</f>
        <v>0</v>
      </c>
      <c r="BC108" s="15">
        <f>IF(BB99=0,0,BB108/BB99)</f>
        <v>0</v>
      </c>
      <c r="BD108" s="9" t="s">
        <v>59</v>
      </c>
      <c r="BE108" s="9" t="s">
        <v>45</v>
      </c>
      <c r="BF108" s="9"/>
      <c r="BG108" s="9"/>
      <c r="BH108" s="9" t="s">
        <v>66</v>
      </c>
      <c r="BI108" s="9" t="s">
        <v>48</v>
      </c>
      <c r="BJ108" s="9" t="s">
        <v>49</v>
      </c>
      <c r="BK108" s="9" t="s">
        <v>42</v>
      </c>
      <c r="BL108" s="9" t="s">
        <v>44</v>
      </c>
      <c r="BM108" s="9" t="s">
        <v>48</v>
      </c>
      <c r="BN108" s="9" t="s">
        <v>44</v>
      </c>
      <c r="BO108" s="9"/>
      <c r="BP108" s="9"/>
      <c r="BQ108" s="9"/>
    </row>
    <row r="109" spans="1:69" x14ac:dyDescent="0.25">
      <c r="A109" s="2" t="s">
        <v>10</v>
      </c>
      <c r="B109" s="2">
        <f t="shared" si="12"/>
        <v>3</v>
      </c>
      <c r="C109" s="15">
        <f t="shared" si="13"/>
        <v>0.56666666666666665</v>
      </c>
      <c r="D109" s="2">
        <v>1</v>
      </c>
      <c r="E109" s="15">
        <f>IF(D99=0,0,D109/D99)</f>
        <v>0.16666666666666666</v>
      </c>
      <c r="F109" s="2">
        <v>1</v>
      </c>
      <c r="G109" s="15">
        <f>IF(F99=0,0,F109/F99)</f>
        <v>0.2</v>
      </c>
      <c r="I109" s="15">
        <f>IF(H99=0,0,H109/H99)</f>
        <v>0</v>
      </c>
      <c r="K109" s="15">
        <f>IF(J99=0,0,J109/J99)</f>
        <v>0</v>
      </c>
      <c r="M109" s="15">
        <f>IF(L99=0,0,L109/L99)</f>
        <v>0</v>
      </c>
      <c r="O109" s="15">
        <f>IF(N99=0,0,N109/N99)</f>
        <v>0</v>
      </c>
      <c r="Q109" s="15">
        <f>IF(P99=0,0,P109/P99)</f>
        <v>0</v>
      </c>
      <c r="S109" s="15">
        <f>IF(R99=0,0,R109/R99)</f>
        <v>0</v>
      </c>
      <c r="T109" s="2">
        <v>1</v>
      </c>
      <c r="U109" s="15">
        <f>IF(T99=0,0,T109/T99)</f>
        <v>0.2</v>
      </c>
      <c r="W109" s="15">
        <f>IF(V99=0,0,V109/V99)</f>
        <v>0</v>
      </c>
      <c r="Y109" s="15">
        <f>IF(X99=0,0,X109/X99)</f>
        <v>0</v>
      </c>
      <c r="AA109" s="15">
        <f>IF(Z99=0,0,Z109/Z99)</f>
        <v>0</v>
      </c>
      <c r="AC109" s="15">
        <f>IF(AB99=0,0,AB109/AB99)</f>
        <v>0</v>
      </c>
      <c r="AE109" s="15">
        <f>IF(AD99=0,0,AD109/AD99)</f>
        <v>0</v>
      </c>
      <c r="AG109" s="15">
        <f>IF(AF99=0,0,AF109/AF99)</f>
        <v>0</v>
      </c>
      <c r="AI109" s="15">
        <f>IF(AH99=0,0,AH109/AH99)</f>
        <v>0</v>
      </c>
      <c r="AK109" s="15">
        <f>IF(AJ99=0,0,AJ109/AJ99)</f>
        <v>0</v>
      </c>
      <c r="AM109" s="15">
        <f>IF(AL99=0,0,AL109/AL99)</f>
        <v>0</v>
      </c>
      <c r="AO109" s="15">
        <f>IF(AN99=0,0,AN109/AN99)</f>
        <v>0</v>
      </c>
      <c r="AQ109" s="15">
        <f>IF(AP99=0,0,AP109/AP99)</f>
        <v>0</v>
      </c>
      <c r="AS109" s="15">
        <f>IF(AR99=0,0,AR109/AR99)</f>
        <v>0</v>
      </c>
      <c r="AU109" s="15">
        <f>IF(AT99=0,0,AT109/AT99)</f>
        <v>0</v>
      </c>
      <c r="AW109" s="15">
        <f>IF(AV99=0,0,AV109/AV99)</f>
        <v>0</v>
      </c>
      <c r="AY109" s="15">
        <f>IF(AX99=0,0,AX109/AX99)</f>
        <v>0</v>
      </c>
      <c r="BA109" s="15">
        <f>IF(AZ99=0,0,AZ109/AZ99)</f>
        <v>0</v>
      </c>
      <c r="BC109" s="15">
        <f>IF(BB99=0,0,BB109/BB99)</f>
        <v>0</v>
      </c>
      <c r="BD109" s="9" t="s">
        <v>60</v>
      </c>
      <c r="BE109" s="9"/>
      <c r="BF109" s="9"/>
      <c r="BG109" s="9"/>
      <c r="BH109" s="9"/>
      <c r="BI109" s="9"/>
      <c r="BJ109" s="9"/>
      <c r="BK109" s="9"/>
      <c r="BL109" s="9" t="s">
        <v>45</v>
      </c>
      <c r="BM109" s="9"/>
      <c r="BN109" s="9"/>
      <c r="BO109" s="9"/>
      <c r="BP109" s="9"/>
      <c r="BQ109" s="9"/>
    </row>
    <row r="110" spans="1:69" x14ac:dyDescent="0.25">
      <c r="A110" s="2" t="s">
        <v>12</v>
      </c>
      <c r="B110" s="2">
        <f t="shared" si="12"/>
        <v>3</v>
      </c>
      <c r="C110" s="15">
        <f t="shared" si="13"/>
        <v>0.8666666666666667</v>
      </c>
      <c r="D110" s="2">
        <v>1</v>
      </c>
      <c r="E110" s="15">
        <f>IF(D99=0,0,D110/D99)</f>
        <v>0.16666666666666666</v>
      </c>
      <c r="G110" s="15">
        <f>IF(F99=0,0,F110/F99)</f>
        <v>0</v>
      </c>
      <c r="I110" s="15">
        <f>IF(H99=0,0,H110/H99)</f>
        <v>0</v>
      </c>
      <c r="K110" s="15">
        <f>IF(J99=0,0,J110/J99)</f>
        <v>0</v>
      </c>
      <c r="M110" s="15">
        <f>IF(L99=0,0,L110/L99)</f>
        <v>0</v>
      </c>
      <c r="O110" s="15">
        <f>IF(N99=0,0,N110/N99)</f>
        <v>0</v>
      </c>
      <c r="Q110" s="15">
        <f>IF(P99=0,0,P110/P99)</f>
        <v>0</v>
      </c>
      <c r="S110" s="15">
        <f>IF(R99=0,0,R110/R99)</f>
        <v>0</v>
      </c>
      <c r="T110" s="2">
        <v>1</v>
      </c>
      <c r="U110" s="15">
        <f>IF(T99=0,0,T110/T99)</f>
        <v>0.2</v>
      </c>
      <c r="W110" s="15">
        <f>IF(V99=0,0,V110/V99)</f>
        <v>0</v>
      </c>
      <c r="Y110" s="15">
        <f>IF(X99=0,0,X110/X99)</f>
        <v>0</v>
      </c>
      <c r="AA110" s="15">
        <f>IF(Z99=0,0,Z110/Z99)</f>
        <v>0</v>
      </c>
      <c r="AB110" s="2">
        <v>1</v>
      </c>
      <c r="AC110" s="15">
        <f>IF(AB99=0,0,AB110/AB99)</f>
        <v>0.5</v>
      </c>
      <c r="AE110" s="15">
        <f>IF(AD99=0,0,AD110/AD99)</f>
        <v>0</v>
      </c>
      <c r="AG110" s="15">
        <f>IF(AF99=0,0,AF110/AF99)</f>
        <v>0</v>
      </c>
      <c r="AI110" s="15">
        <f>IF(AH99=0,0,AH110/AH99)</f>
        <v>0</v>
      </c>
      <c r="AK110" s="15">
        <f>IF(AJ99=0,0,AJ110/AJ99)</f>
        <v>0</v>
      </c>
      <c r="AM110" s="15">
        <f>IF(AL99=0,0,AL110/AL99)</f>
        <v>0</v>
      </c>
      <c r="AO110" s="15">
        <f>IF(AN99=0,0,AN110/AN99)</f>
        <v>0</v>
      </c>
      <c r="AQ110" s="15">
        <f>IF(AP99=0,0,AP110/AP99)</f>
        <v>0</v>
      </c>
      <c r="AS110" s="15">
        <f>IF(AR99=0,0,AR110/AR99)</f>
        <v>0</v>
      </c>
      <c r="AU110" s="15">
        <f>IF(AT99=0,0,AT110/AT99)</f>
        <v>0</v>
      </c>
      <c r="AW110" s="15">
        <f>IF(AV99=0,0,AV110/AV99)</f>
        <v>0</v>
      </c>
      <c r="AY110" s="15">
        <f>IF(AX99=0,0,AX110/AX99)</f>
        <v>0</v>
      </c>
      <c r="BA110" s="15">
        <f>IF(AZ99=0,0,AZ110/AZ99)</f>
        <v>0</v>
      </c>
      <c r="BC110" s="15">
        <f>IF(BB99=0,0,BB110/BB99)</f>
        <v>0</v>
      </c>
      <c r="BD110" s="9" t="s">
        <v>61</v>
      </c>
      <c r="BE110" s="9"/>
      <c r="BF110" s="9"/>
      <c r="BG110" s="9"/>
      <c r="BH110" s="9"/>
      <c r="BI110" s="9"/>
      <c r="BJ110" s="9"/>
      <c r="BK110" s="9"/>
      <c r="BL110" s="9" t="s">
        <v>65</v>
      </c>
      <c r="BM110" s="9"/>
      <c r="BN110" s="9"/>
      <c r="BO110" s="9"/>
      <c r="BP110" s="9"/>
      <c r="BQ110" s="9"/>
    </row>
    <row r="111" spans="1:69" x14ac:dyDescent="0.25">
      <c r="A111" s="2" t="s">
        <v>9</v>
      </c>
      <c r="B111" s="2">
        <f t="shared" si="12"/>
        <v>3</v>
      </c>
      <c r="C111" s="15">
        <f t="shared" si="13"/>
        <v>0.4777777777777778</v>
      </c>
      <c r="E111" s="15">
        <f>IF(D99=0,0,D111/D99)</f>
        <v>0</v>
      </c>
      <c r="G111" s="15">
        <f>IF(F99=0,0,F111/F99)</f>
        <v>0</v>
      </c>
      <c r="I111" s="15">
        <f>IF(H99=0,0,H111/H99)</f>
        <v>0</v>
      </c>
      <c r="K111" s="15">
        <f>IF(J99=0,0,J111/J99)</f>
        <v>0</v>
      </c>
      <c r="L111" s="2">
        <v>1</v>
      </c>
      <c r="M111" s="15">
        <f>IF(L99=0,0,L111/L99)</f>
        <v>0.2</v>
      </c>
      <c r="O111" s="15">
        <f>IF(N99=0,0,N111/N99)</f>
        <v>0</v>
      </c>
      <c r="Q111" s="15">
        <f>IF(P99=0,0,P111/P99)</f>
        <v>0</v>
      </c>
      <c r="S111" s="15">
        <f>IF(R99=0,0,R111/R99)</f>
        <v>0</v>
      </c>
      <c r="U111" s="15">
        <f>IF(T99=0,0,T111/T99)</f>
        <v>0</v>
      </c>
      <c r="W111" s="15">
        <f>IF(V99=0,0,V111/V99)</f>
        <v>0</v>
      </c>
      <c r="Y111" s="15">
        <f>IF(X99=0,0,X111/X99)</f>
        <v>0</v>
      </c>
      <c r="AA111" s="15">
        <f>IF(Z99=0,0,Z111/Z99)</f>
        <v>0</v>
      </c>
      <c r="AC111" s="15">
        <f>IF(AB99=0,0,AB111/AB99)</f>
        <v>0</v>
      </c>
      <c r="AE111" s="15">
        <f>IF(AD99=0,0,AD111/AD99)</f>
        <v>0</v>
      </c>
      <c r="AG111" s="15">
        <f>IF(AF99=0,0,AF111/AF99)</f>
        <v>0</v>
      </c>
      <c r="AI111" s="15">
        <f>IF(AH99=0,0,AH111/AH99)</f>
        <v>0</v>
      </c>
      <c r="AK111" s="15">
        <f>IF(AJ99=0,0,AJ111/AJ99)</f>
        <v>0</v>
      </c>
      <c r="AM111" s="15">
        <f>IF(AL99=0,0,AL111/AL99)</f>
        <v>0</v>
      </c>
      <c r="AN111" s="2">
        <v>1</v>
      </c>
      <c r="AO111" s="15">
        <f>IF(AN99=0,0,AN111/AN99)</f>
        <v>0.16666666666666666</v>
      </c>
      <c r="AP111" s="2">
        <v>1</v>
      </c>
      <c r="AQ111" s="15">
        <f>IF(AP99=0,0,AP111/AP99)</f>
        <v>0.1111111111111111</v>
      </c>
      <c r="AS111" s="15">
        <f>IF(AR99=0,0,AR111/AR99)</f>
        <v>0</v>
      </c>
      <c r="AU111" s="15">
        <f>IF(AT99=0,0,AT111/AT99)</f>
        <v>0</v>
      </c>
      <c r="AW111" s="15">
        <f>IF(AV99=0,0,AV111/AV99)</f>
        <v>0</v>
      </c>
      <c r="AY111" s="15">
        <f>IF(AX99=0,0,AX111/AX99)</f>
        <v>0</v>
      </c>
      <c r="BA111" s="15">
        <f>IF(AZ99=0,0,AZ111/AZ99)</f>
        <v>0</v>
      </c>
      <c r="BC111" s="15">
        <f>IF(BB99=0,0,BB111/BB99)</f>
        <v>0</v>
      </c>
      <c r="BD111" s="9" t="s">
        <v>62</v>
      </c>
      <c r="BE111" s="9"/>
      <c r="BF111" s="9"/>
      <c r="BG111" s="9"/>
      <c r="BH111" s="9"/>
      <c r="BI111" s="9" t="s">
        <v>44</v>
      </c>
      <c r="BJ111" s="9" t="s">
        <v>67</v>
      </c>
      <c r="BK111" s="9" t="s">
        <v>49</v>
      </c>
      <c r="BL111" s="9" t="s">
        <v>48</v>
      </c>
      <c r="BM111" s="9" t="s">
        <v>46</v>
      </c>
      <c r="BN111" s="9" t="s">
        <v>48</v>
      </c>
      <c r="BO111" s="9" t="s">
        <v>63</v>
      </c>
      <c r="BP111" s="9"/>
      <c r="BQ111" s="9"/>
    </row>
    <row r="112" spans="1:69" x14ac:dyDescent="0.25">
      <c r="A112" s="2" t="s">
        <v>11</v>
      </c>
      <c r="B112" s="2">
        <f t="shared" si="12"/>
        <v>3</v>
      </c>
      <c r="C112" s="15">
        <f t="shared" si="13"/>
        <v>1.2916666666666667</v>
      </c>
      <c r="E112" s="15">
        <f>IF(D99=0,0,D112/D99)</f>
        <v>0</v>
      </c>
      <c r="G112" s="15">
        <f>IF(F99=0,0,F112/F99)</f>
        <v>0</v>
      </c>
      <c r="I112" s="15">
        <f>IF(H99=0,0,H112/H99)</f>
        <v>0</v>
      </c>
      <c r="K112" s="15">
        <f>IF(J99=0,0,J112/J99)</f>
        <v>0</v>
      </c>
      <c r="M112" s="15">
        <f>IF(L99=0,0,L112/L99)</f>
        <v>0</v>
      </c>
      <c r="O112" s="15">
        <f>IF(N99=0,0,N112/N99)</f>
        <v>0</v>
      </c>
      <c r="Q112" s="15">
        <f>IF(P99=0,0,P112/P99)</f>
        <v>0</v>
      </c>
      <c r="S112" s="15">
        <f>IF(R99=0,0,R112/R99)</f>
        <v>0</v>
      </c>
      <c r="U112" s="15">
        <f>IF(T99=0,0,T112/T99)</f>
        <v>0</v>
      </c>
      <c r="W112" s="15">
        <f>IF(V99=0,0,V112/V99)</f>
        <v>0</v>
      </c>
      <c r="Y112" s="15">
        <f>IF(X99=0,0,X112/X99)</f>
        <v>0</v>
      </c>
      <c r="AA112" s="15">
        <f>IF(Z99=0,0,Z112/Z99)</f>
        <v>0</v>
      </c>
      <c r="AC112" s="15">
        <f>IF(AB99=0,0,AB112/AB99)</f>
        <v>0</v>
      </c>
      <c r="AE112" s="15">
        <f>IF(AD99=0,0,AD112/AD99)</f>
        <v>0</v>
      </c>
      <c r="AF112" s="2">
        <v>1</v>
      </c>
      <c r="AG112" s="15">
        <f>IF(AF99=0,0,AF112/AF99)</f>
        <v>0.125</v>
      </c>
      <c r="AH112" s="2">
        <v>1</v>
      </c>
      <c r="AI112" s="15">
        <f>IF(AH99=0,0,AH112/AH99)</f>
        <v>1</v>
      </c>
      <c r="AK112" s="15">
        <f>IF(AJ99=0,0,AJ112/AJ99)</f>
        <v>0</v>
      </c>
      <c r="AM112" s="15">
        <f>IF(AL99=0,0,AL112/AL99)</f>
        <v>0</v>
      </c>
      <c r="AN112" s="2">
        <v>1</v>
      </c>
      <c r="AO112" s="15">
        <f>IF(AN99=0,0,AN112/AN99)</f>
        <v>0.16666666666666666</v>
      </c>
      <c r="AQ112" s="15">
        <f>IF(AP99=0,0,AP112/AP99)</f>
        <v>0</v>
      </c>
      <c r="AS112" s="15">
        <f>IF(AR99=0,0,AR112/AR99)</f>
        <v>0</v>
      </c>
      <c r="AU112" s="15">
        <f>IF(AT99=0,0,AT112/AT99)</f>
        <v>0</v>
      </c>
      <c r="AW112" s="15">
        <f>IF(AV99=0,0,AV112/AV99)</f>
        <v>0</v>
      </c>
      <c r="AY112" s="15">
        <f>IF(AX99=0,0,AX112/AX99)</f>
        <v>0</v>
      </c>
      <c r="BA112" s="15">
        <f>IF(AZ99=0,0,AZ112/AZ99)</f>
        <v>0</v>
      </c>
      <c r="BC112" s="15">
        <f>IF(BB99=0,0,BB112/BB99)</f>
        <v>0</v>
      </c>
    </row>
    <row r="114" spans="1:69" ht="15.75" x14ac:dyDescent="0.3">
      <c r="D114" s="1" t="s">
        <v>14</v>
      </c>
      <c r="E114" s="1"/>
      <c r="F114" s="1" t="s">
        <v>15</v>
      </c>
      <c r="G114" s="1"/>
      <c r="H114" s="1" t="s">
        <v>16</v>
      </c>
      <c r="I114" s="1"/>
      <c r="J114" s="1" t="s">
        <v>17</v>
      </c>
      <c r="K114" s="1"/>
      <c r="L114" s="1" t="s">
        <v>18</v>
      </c>
      <c r="M114" s="1"/>
      <c r="N114" s="1" t="s">
        <v>19</v>
      </c>
      <c r="O114" s="1"/>
      <c r="P114" s="1" t="s">
        <v>20</v>
      </c>
      <c r="Q114" s="1"/>
      <c r="R114" s="1" t="s">
        <v>21</v>
      </c>
      <c r="S114" s="1"/>
      <c r="T114" s="1" t="s">
        <v>22</v>
      </c>
      <c r="U114" s="1"/>
      <c r="V114" s="1" t="s">
        <v>23</v>
      </c>
      <c r="W114" s="1"/>
      <c r="X114" s="1" t="s">
        <v>24</v>
      </c>
      <c r="Y114" s="1"/>
      <c r="Z114" s="1" t="s">
        <v>25</v>
      </c>
      <c r="AA114" s="1"/>
      <c r="AB114" s="1" t="s">
        <v>26</v>
      </c>
      <c r="AC114" s="1"/>
      <c r="AD114" s="1" t="s">
        <v>27</v>
      </c>
      <c r="AE114" s="1"/>
      <c r="AF114" s="1" t="s">
        <v>28</v>
      </c>
      <c r="AG114" s="1"/>
      <c r="AH114" s="1" t="s">
        <v>29</v>
      </c>
      <c r="AI114" s="1"/>
      <c r="AJ114" s="1" t="s">
        <v>30</v>
      </c>
      <c r="AK114" s="1"/>
      <c r="AL114" s="1" t="s">
        <v>31</v>
      </c>
      <c r="AM114" s="1"/>
      <c r="AN114" s="1" t="s">
        <v>32</v>
      </c>
      <c r="AO114" s="1"/>
      <c r="AP114" s="1" t="s">
        <v>33</v>
      </c>
      <c r="AQ114" s="1"/>
      <c r="AR114" s="1" t="s">
        <v>34</v>
      </c>
      <c r="AS114" s="1"/>
      <c r="AT114" s="1" t="s">
        <v>35</v>
      </c>
      <c r="AU114" s="1"/>
      <c r="AV114" s="1" t="s">
        <v>36</v>
      </c>
      <c r="AW114" s="1"/>
      <c r="AX114" s="1" t="s">
        <v>37</v>
      </c>
      <c r="AY114" s="1"/>
      <c r="AZ114" s="1" t="s">
        <v>38</v>
      </c>
      <c r="BA114" s="1"/>
      <c r="BB114" s="1" t="s">
        <v>39</v>
      </c>
      <c r="BC114" s="1"/>
    </row>
    <row r="115" spans="1:69" ht="15.75" x14ac:dyDescent="0.3">
      <c r="D115" s="17">
        <f>SUM(D116:D129)</f>
        <v>6</v>
      </c>
      <c r="E115" s="18"/>
      <c r="F115" s="17">
        <f>SUM(F116:F129)</f>
        <v>5</v>
      </c>
      <c r="G115" s="17"/>
      <c r="H115" s="17">
        <f>SUM(H116:H129)</f>
        <v>2</v>
      </c>
      <c r="I115" s="17"/>
      <c r="J115" s="17">
        <f>SUM(J116:J129)</f>
        <v>0</v>
      </c>
      <c r="K115" s="17"/>
      <c r="L115" s="17">
        <f>SUM(L116:L129)</f>
        <v>5</v>
      </c>
      <c r="M115" s="17"/>
      <c r="N115" s="17">
        <f>SUM(N116:N129)</f>
        <v>0</v>
      </c>
      <c r="O115" s="17"/>
      <c r="P115" s="17">
        <f>SUM(P116:P129)</f>
        <v>0</v>
      </c>
      <c r="Q115" s="17"/>
      <c r="R115" s="17">
        <f>SUM(R116:R129)</f>
        <v>2</v>
      </c>
      <c r="S115" s="17"/>
      <c r="T115" s="17">
        <f>SUM(T116:T129)</f>
        <v>5</v>
      </c>
      <c r="U115" s="17"/>
      <c r="V115" s="17">
        <f>SUM(V116:V129)</f>
        <v>0</v>
      </c>
      <c r="W115" s="17"/>
      <c r="X115" s="17">
        <f>SUM(X116:X129)</f>
        <v>0</v>
      </c>
      <c r="Y115" s="17"/>
      <c r="Z115" s="17">
        <f>SUM(Z116:Z129)</f>
        <v>2</v>
      </c>
      <c r="AA115" s="17"/>
      <c r="AB115" s="17">
        <f>SUM(AB116:AB129)</f>
        <v>2</v>
      </c>
      <c r="AC115" s="17"/>
      <c r="AD115" s="17">
        <f>SUM(AD116:AD129)</f>
        <v>2</v>
      </c>
      <c r="AE115" s="19"/>
      <c r="AF115" s="17">
        <f>SUM(AF116:AF129)</f>
        <v>8</v>
      </c>
      <c r="AG115" s="19"/>
      <c r="AH115" s="17">
        <f>SUM(AH116:AH129)</f>
        <v>1</v>
      </c>
      <c r="AI115" s="19"/>
      <c r="AJ115" s="17">
        <f>SUM(AJ116:AJ129)</f>
        <v>0</v>
      </c>
      <c r="AK115" s="19"/>
      <c r="AL115" s="17">
        <f>SUM(AL116:AL129)</f>
        <v>6</v>
      </c>
      <c r="AM115" s="19"/>
      <c r="AN115" s="17">
        <f>SUM(AN116:AN129)</f>
        <v>6</v>
      </c>
      <c r="AO115" s="19"/>
      <c r="AP115" s="17">
        <f>SUM(AP116:AP129)</f>
        <v>9</v>
      </c>
      <c r="AQ115" s="19"/>
      <c r="AR115" s="17">
        <f>SUM(AR116:AR129)</f>
        <v>3</v>
      </c>
      <c r="AS115" s="19"/>
      <c r="AT115" s="17">
        <f>SUM(AT116:AT129)</f>
        <v>0</v>
      </c>
      <c r="AU115" s="19"/>
      <c r="AV115" s="17">
        <f>SUM(AV116:AV129)</f>
        <v>0</v>
      </c>
      <c r="AW115" s="19"/>
      <c r="AX115" s="17">
        <f>SUM(AX116:AX129)</f>
        <v>0</v>
      </c>
      <c r="AY115" s="19"/>
      <c r="AZ115" s="17">
        <f>SUM(AZ116:AZ129)</f>
        <v>0</v>
      </c>
      <c r="BA115" s="19"/>
      <c r="BB115" s="17">
        <f>SUM(BB116:BB129)</f>
        <v>0</v>
      </c>
      <c r="BD115" s="9"/>
      <c r="BE115" s="9" t="s">
        <v>50</v>
      </c>
      <c r="BF115" s="9" t="s">
        <v>51</v>
      </c>
      <c r="BG115" s="9" t="s">
        <v>52</v>
      </c>
      <c r="BH115" s="9" t="s">
        <v>53</v>
      </c>
      <c r="BI115" s="9" t="s">
        <v>54</v>
      </c>
      <c r="BJ115" s="9" t="s">
        <v>55</v>
      </c>
      <c r="BK115" s="9" t="s">
        <v>56</v>
      </c>
      <c r="BL115" s="9" t="s">
        <v>57</v>
      </c>
      <c r="BM115" s="9" t="s">
        <v>58</v>
      </c>
      <c r="BN115" s="9" t="s">
        <v>59</v>
      </c>
      <c r="BO115" s="9" t="s">
        <v>60</v>
      </c>
      <c r="BP115" s="9" t="s">
        <v>61</v>
      </c>
      <c r="BQ115" s="9"/>
    </row>
    <row r="116" spans="1:69" ht="15.75" x14ac:dyDescent="0.3">
      <c r="A116" s="4" t="s">
        <v>0</v>
      </c>
      <c r="B116" s="2">
        <f t="shared" ref="B116:B128" si="14">LEN(A116)</f>
        <v>12</v>
      </c>
      <c r="C116" s="15"/>
      <c r="D116" s="2">
        <v>1</v>
      </c>
      <c r="E116" s="15">
        <f>IF(D115=0,0,D116/D115)</f>
        <v>0.16666666666666666</v>
      </c>
      <c r="G116" s="15">
        <f>IF(F115=0,0,F116/F115)</f>
        <v>0</v>
      </c>
      <c r="I116" s="15">
        <f>IF(H115=0,0,H116/H115)</f>
        <v>0</v>
      </c>
      <c r="K116" s="15">
        <f>IF(J115=0,0,J116/J115)</f>
        <v>0</v>
      </c>
      <c r="L116" s="2">
        <v>2</v>
      </c>
      <c r="M116" s="15">
        <f>IF(L115=0,0,L116/L115)</f>
        <v>0.4</v>
      </c>
      <c r="O116" s="15">
        <f>IF(N115=0,0,N116/N115)</f>
        <v>0</v>
      </c>
      <c r="Q116" s="15">
        <f>IF(P115=0,0,P116/P115)</f>
        <v>0</v>
      </c>
      <c r="S116" s="15">
        <f>IF(R115=0,0,R116/R115)</f>
        <v>0</v>
      </c>
      <c r="T116" s="2">
        <v>1</v>
      </c>
      <c r="U116" s="15">
        <f>IF(T115=0,0,T116/T115)</f>
        <v>0.2</v>
      </c>
      <c r="W116" s="15">
        <f>IF(V115=0,0,V116/V115)</f>
        <v>0</v>
      </c>
      <c r="Y116" s="15">
        <f>IF(X115=0,0,X116/X115)</f>
        <v>0</v>
      </c>
      <c r="AA116" s="15">
        <f>IF(Z115=0,0,Z116/Z115)</f>
        <v>0</v>
      </c>
      <c r="AC116" s="15">
        <f>IF(AB115=0,0,AB116/AB115)</f>
        <v>0</v>
      </c>
      <c r="AD116" s="2">
        <v>2</v>
      </c>
      <c r="AE116" s="15">
        <f>IF(AD115=0,0,AD116/AD115)</f>
        <v>1</v>
      </c>
      <c r="AG116" s="15">
        <f>IF(AF115=0,0,AF116/AF115)</f>
        <v>0</v>
      </c>
      <c r="AI116" s="15">
        <f>IF(AH115=0,0,AH116/AH115)</f>
        <v>0</v>
      </c>
      <c r="AK116" s="15">
        <f>IF(AJ115=0,0,AJ116/AJ115)</f>
        <v>0</v>
      </c>
      <c r="AL116" s="2">
        <v>1</v>
      </c>
      <c r="AM116" s="15">
        <f>IF(AL115=0,0,AL116/AL115)</f>
        <v>0.16666666666666666</v>
      </c>
      <c r="AN116" s="2">
        <v>2</v>
      </c>
      <c r="AO116" s="15">
        <f>IF(AN115=0,0,AN116/AN115)</f>
        <v>0.33333333333333331</v>
      </c>
      <c r="AP116" s="2">
        <v>2</v>
      </c>
      <c r="AQ116" s="15">
        <f>IF(AP115=0,0,AP116/AP115)</f>
        <v>0.22222222222222221</v>
      </c>
      <c r="AS116" s="15">
        <f>IF(AR115=0,0,AR116/AR115)</f>
        <v>0</v>
      </c>
      <c r="AU116" s="15">
        <f>IF(AT115=0,0,AT116/AT115)</f>
        <v>0</v>
      </c>
      <c r="AW116" s="15">
        <f>IF(AV115=0,0,AV116/AV115)</f>
        <v>0</v>
      </c>
      <c r="AY116" s="15">
        <f>IF(AX115=0,0,AX116/AX115)</f>
        <v>0</v>
      </c>
      <c r="BA116" s="15">
        <f>IF(AZ115=0,0,AZ116/AZ115)</f>
        <v>0</v>
      </c>
      <c r="BC116" s="15">
        <f>IF(BB115=0,0,BB116/BB115)</f>
        <v>0</v>
      </c>
      <c r="BD116" s="9" t="s">
        <v>51</v>
      </c>
      <c r="BE116" s="9" t="s">
        <v>42</v>
      </c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</row>
    <row r="117" spans="1:69" ht="15.75" x14ac:dyDescent="0.3">
      <c r="A117" s="4" t="s">
        <v>2</v>
      </c>
      <c r="B117" s="2">
        <f t="shared" si="14"/>
        <v>9</v>
      </c>
      <c r="C117" s="15"/>
      <c r="D117" s="2">
        <v>0</v>
      </c>
      <c r="E117" s="15">
        <f>IF(D115=0,0,D117/D115)</f>
        <v>0</v>
      </c>
      <c r="G117" s="15">
        <f>IF(F115=0,0,F117/F115)</f>
        <v>0</v>
      </c>
      <c r="H117" s="2">
        <v>1</v>
      </c>
      <c r="I117" s="15">
        <f>IF(H115=0,0,H117/H115)</f>
        <v>0.5</v>
      </c>
      <c r="J117" s="2">
        <v>0</v>
      </c>
      <c r="K117" s="15">
        <f>IF(J115=0,0,J117/J115)</f>
        <v>0</v>
      </c>
      <c r="L117" s="2">
        <v>0</v>
      </c>
      <c r="M117" s="15">
        <f>IF(L115=0,0,L117/L115)</f>
        <v>0</v>
      </c>
      <c r="O117" s="15">
        <f>IF(N115=0,0,N117/N115)</f>
        <v>0</v>
      </c>
      <c r="Q117" s="15">
        <f>IF(P115=0,0,P117/P115)</f>
        <v>0</v>
      </c>
      <c r="S117" s="15">
        <f>IF(R115=0,0,R117/R115)</f>
        <v>0</v>
      </c>
      <c r="T117" s="2">
        <v>0</v>
      </c>
      <c r="U117" s="15">
        <f>IF(T115=0,0,T117/T115)</f>
        <v>0</v>
      </c>
      <c r="W117" s="15">
        <f>IF(V115=0,0,V117/V115)</f>
        <v>0</v>
      </c>
      <c r="Y117" s="15">
        <f>IF(X115=0,0,X117/X115)</f>
        <v>0</v>
      </c>
      <c r="AA117" s="15">
        <f>IF(Z115=0,0,Z117/Z115)</f>
        <v>0</v>
      </c>
      <c r="AC117" s="15">
        <f>IF(AB115=0,0,AB117/AB115)</f>
        <v>0</v>
      </c>
      <c r="AE117" s="15">
        <f>IF(AD115=0,0,AD117/AD115)</f>
        <v>0</v>
      </c>
      <c r="AF117" s="2">
        <v>0</v>
      </c>
      <c r="AG117" s="15">
        <f>IF(AF115=0,0,AF117/AF115)</f>
        <v>0</v>
      </c>
      <c r="AI117" s="15">
        <f>IF(AH115=0,0,AH117/AH115)</f>
        <v>0</v>
      </c>
      <c r="AK117" s="15">
        <f>IF(AJ115=0,0,AJ117/AJ115)</f>
        <v>0</v>
      </c>
      <c r="AM117" s="15">
        <f>IF(AL115=0,0,AL117/AL115)</f>
        <v>0</v>
      </c>
      <c r="AN117" s="2">
        <v>0</v>
      </c>
      <c r="AO117" s="15">
        <f>IF(AN115=0,0,AN117/AN115)</f>
        <v>0</v>
      </c>
      <c r="AP117" s="2">
        <v>1</v>
      </c>
      <c r="AQ117" s="15">
        <f>IF(AP115=0,0,AP117/AP115)</f>
        <v>0.1111111111111111</v>
      </c>
      <c r="AS117" s="15">
        <f>IF(AR115=0,0,AR117/AR115)</f>
        <v>0</v>
      </c>
      <c r="AU117" s="15">
        <f>IF(AT115=0,0,AT117/AT115)</f>
        <v>0</v>
      </c>
      <c r="AW117" s="15">
        <f>IF(AV115=0,0,AV117/AV115)</f>
        <v>0</v>
      </c>
      <c r="AY117" s="15">
        <f>IF(AX115=0,0,AX117/AX115)</f>
        <v>0</v>
      </c>
      <c r="BA117" s="15">
        <f>IF(AZ115=0,0,AZ117/AZ115)</f>
        <v>0</v>
      </c>
      <c r="BC117" s="15">
        <f>IF(BB115=0,0,BB117/BB115)</f>
        <v>0</v>
      </c>
      <c r="BD117" s="9" t="s">
        <v>52</v>
      </c>
      <c r="BE117" s="9" t="s">
        <v>43</v>
      </c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</row>
    <row r="118" spans="1:69" ht="15.75" x14ac:dyDescent="0.3">
      <c r="A118" s="4" t="s">
        <v>1</v>
      </c>
      <c r="B118" s="2">
        <f t="shared" si="14"/>
        <v>9</v>
      </c>
      <c r="C118" s="15"/>
      <c r="E118" s="15">
        <f>IF(D115=0,0,D118/D115)</f>
        <v>0</v>
      </c>
      <c r="F118" s="2">
        <v>1</v>
      </c>
      <c r="G118" s="15">
        <f>IF(F115=0,0,F118/F115)</f>
        <v>0.2</v>
      </c>
      <c r="I118" s="15">
        <f>IF(H115=0,0,H118/H115)</f>
        <v>0</v>
      </c>
      <c r="J118" s="2">
        <v>0</v>
      </c>
      <c r="K118" s="15">
        <f>IF(J115=0,0,J118/J115)</f>
        <v>0</v>
      </c>
      <c r="L118" s="2">
        <v>0</v>
      </c>
      <c r="M118" s="15">
        <f>IF(L115=0,0,L118/L115)</f>
        <v>0</v>
      </c>
      <c r="O118" s="15">
        <f>IF(N115=0,0,N118/N115)</f>
        <v>0</v>
      </c>
      <c r="Q118" s="15">
        <f>IF(P115=0,0,P118/P115)</f>
        <v>0</v>
      </c>
      <c r="S118" s="15">
        <f>IF(R115=0,0,R118/R115)</f>
        <v>0</v>
      </c>
      <c r="T118" s="2">
        <v>1</v>
      </c>
      <c r="U118" s="15">
        <f>IF(T115=0,0,T118/T115)</f>
        <v>0.2</v>
      </c>
      <c r="W118" s="15">
        <f>IF(V115=0,0,V118/V115)</f>
        <v>0</v>
      </c>
      <c r="Y118" s="15">
        <f>IF(X115=0,0,X118/X115)</f>
        <v>0</v>
      </c>
      <c r="AA118" s="15">
        <f>IF(Z115=0,0,Z118/Z115)</f>
        <v>0</v>
      </c>
      <c r="AC118" s="15">
        <f>IF(AB115=0,0,AB118/AB115)</f>
        <v>0</v>
      </c>
      <c r="AE118" s="15">
        <f>IF(AD115=0,0,AD118/AD115)</f>
        <v>0</v>
      </c>
      <c r="AF118" s="2">
        <v>1</v>
      </c>
      <c r="AG118" s="15">
        <f>IF(AF115=0,0,AF118/AF115)</f>
        <v>0.125</v>
      </c>
      <c r="AI118" s="15">
        <f>IF(AH115=0,0,AH118/AH115)</f>
        <v>0</v>
      </c>
      <c r="AK118" s="15">
        <f>IF(AJ115=0,0,AJ118/AJ115)</f>
        <v>0</v>
      </c>
      <c r="AL118" s="2">
        <v>0</v>
      </c>
      <c r="AM118" s="15">
        <f>IF(AL115=0,0,AL118/AL115)</f>
        <v>0</v>
      </c>
      <c r="AN118" s="2">
        <v>1</v>
      </c>
      <c r="AO118" s="15">
        <f>IF(AN115=0,0,AN118/AN115)</f>
        <v>0.16666666666666666</v>
      </c>
      <c r="AP118" s="2">
        <v>1</v>
      </c>
      <c r="AQ118" s="15">
        <f>IF(AP115=0,0,AP118/AP115)</f>
        <v>0.1111111111111111</v>
      </c>
      <c r="AS118" s="15">
        <f>IF(AR115=0,0,AR118/AR115)</f>
        <v>0</v>
      </c>
      <c r="AU118" s="15">
        <f>IF(AT115=0,0,AT118/AT115)</f>
        <v>0</v>
      </c>
      <c r="AW118" s="15">
        <f>IF(AV115=0,0,AV118/AV115)</f>
        <v>0</v>
      </c>
      <c r="AY118" s="15">
        <f>IF(AX115=0,0,AX118/AX115)</f>
        <v>0</v>
      </c>
      <c r="BA118" s="15">
        <f>IF(AZ115=0,0,AZ118/AZ115)</f>
        <v>0</v>
      </c>
      <c r="BC118" s="15">
        <f>IF(BB115=0,0,BB118/BB115)</f>
        <v>0</v>
      </c>
      <c r="BD118" s="9" t="s">
        <v>53</v>
      </c>
      <c r="BE118" s="9" t="s">
        <v>44</v>
      </c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</row>
    <row r="119" spans="1:69" x14ac:dyDescent="0.25">
      <c r="A119" s="2" t="s">
        <v>3</v>
      </c>
      <c r="B119" s="2">
        <f t="shared" si="14"/>
        <v>7</v>
      </c>
      <c r="C119" s="15"/>
      <c r="D119" s="2">
        <v>1</v>
      </c>
      <c r="E119" s="15">
        <f>IF(D115=0,0,D119/D115)</f>
        <v>0.16666666666666666</v>
      </c>
      <c r="F119" s="2">
        <v>1</v>
      </c>
      <c r="G119" s="15">
        <f>IF(F115=0,0,F119/F115)</f>
        <v>0.2</v>
      </c>
      <c r="I119" s="15">
        <f>IF(H115=0,0,H119/H115)</f>
        <v>0</v>
      </c>
      <c r="K119" s="15">
        <f>IF(J115=0,0,J119/J115)</f>
        <v>0</v>
      </c>
      <c r="M119" s="15">
        <f>IF(L115=0,0,L119/L115)</f>
        <v>0</v>
      </c>
      <c r="O119" s="15">
        <f>IF(N115=0,0,N119/N115)</f>
        <v>0</v>
      </c>
      <c r="Q119" s="15">
        <f>IF(P115=0,0,P119/P115)</f>
        <v>0</v>
      </c>
      <c r="S119" s="15">
        <f>IF(R115=0,0,R119/R115)</f>
        <v>0</v>
      </c>
      <c r="U119" s="15">
        <f>IF(T115=0,0,T119/T115)</f>
        <v>0</v>
      </c>
      <c r="W119" s="15">
        <f>IF(V115=0,0,V119/V115)</f>
        <v>0</v>
      </c>
      <c r="Y119" s="15">
        <f>IF(X115=0,0,X119/X115)</f>
        <v>0</v>
      </c>
      <c r="AA119" s="15">
        <f>IF(Z115=0,0,Z119/Z115)</f>
        <v>0</v>
      </c>
      <c r="AC119" s="15">
        <f>IF(AB115=0,0,AB119/AB115)</f>
        <v>0</v>
      </c>
      <c r="AE119" s="15">
        <f>IF(AD115=0,0,AD119/AD115)</f>
        <v>0</v>
      </c>
      <c r="AF119" s="2">
        <v>1</v>
      </c>
      <c r="AG119" s="15">
        <f>IF(AF115=0,0,AF119/AF115)</f>
        <v>0.125</v>
      </c>
      <c r="AI119" s="15">
        <f>IF(AH115=0,0,AH119/AH115)</f>
        <v>0</v>
      </c>
      <c r="AK119" s="15">
        <f>IF(AJ115=0,0,AJ119/AJ115)</f>
        <v>0</v>
      </c>
      <c r="AL119" s="2">
        <v>1</v>
      </c>
      <c r="AM119" s="15">
        <f>IF(AL115=0,0,AL119/AL115)</f>
        <v>0.16666666666666666</v>
      </c>
      <c r="AO119" s="15">
        <f>IF(AN115=0,0,AN119/AN115)</f>
        <v>0</v>
      </c>
      <c r="AP119" s="2">
        <v>1</v>
      </c>
      <c r="AQ119" s="15">
        <f>IF(AP115=0,0,AP119/AP115)</f>
        <v>0.1111111111111111</v>
      </c>
      <c r="AR119" s="2">
        <v>1</v>
      </c>
      <c r="AS119" s="15">
        <f>IF(AR115=0,0,AR119/AR115)</f>
        <v>0.33333333333333331</v>
      </c>
      <c r="AU119" s="15">
        <f>IF(AT115=0,0,AT119/AT115)</f>
        <v>0</v>
      </c>
      <c r="AW119" s="15">
        <f>IF(AV115=0,0,AV119/AV115)</f>
        <v>0</v>
      </c>
      <c r="AY119" s="15">
        <f>IF(AX115=0,0,AX119/AX115)</f>
        <v>0</v>
      </c>
      <c r="BA119" s="15">
        <f>IF(AZ115=0,0,AZ119/AZ115)</f>
        <v>0</v>
      </c>
      <c r="BC119" s="15">
        <f>IF(BB115=0,0,BB119/BB115)</f>
        <v>0</v>
      </c>
      <c r="BD119" s="9" t="s">
        <v>54</v>
      </c>
      <c r="BE119" s="9" t="s">
        <v>45</v>
      </c>
      <c r="BF119" s="9" t="s">
        <v>47</v>
      </c>
      <c r="BG119" s="9" t="s">
        <v>44</v>
      </c>
      <c r="BH119" s="9" t="s">
        <v>42</v>
      </c>
      <c r="BI119" s="9" t="s">
        <v>49</v>
      </c>
      <c r="BJ119" s="9" t="s">
        <v>63</v>
      </c>
      <c r="BK119" s="9" t="s">
        <v>46</v>
      </c>
      <c r="BL119" s="9" t="s">
        <v>64</v>
      </c>
      <c r="BM119" s="9" t="s">
        <v>63</v>
      </c>
      <c r="BN119" s="9"/>
      <c r="BO119" s="9"/>
      <c r="BP119" s="9"/>
      <c r="BQ119" s="9"/>
    </row>
    <row r="120" spans="1:69" ht="15.75" x14ac:dyDescent="0.3">
      <c r="A120" s="4" t="s">
        <v>5</v>
      </c>
      <c r="B120" s="2">
        <f t="shared" si="14"/>
        <v>7</v>
      </c>
      <c r="C120" s="15"/>
      <c r="D120" s="2">
        <v>1</v>
      </c>
      <c r="E120" s="15">
        <f>IF(D115=0,0,D120/D115)</f>
        <v>0.16666666666666666</v>
      </c>
      <c r="F120" s="2">
        <v>1</v>
      </c>
      <c r="G120" s="15">
        <f>IF(F115=0,0,F120/F115)</f>
        <v>0.2</v>
      </c>
      <c r="I120" s="15">
        <f>IF(H115=0,0,H120/H115)</f>
        <v>0</v>
      </c>
      <c r="K120" s="15">
        <f>IF(J115=0,0,J120/J115)</f>
        <v>0</v>
      </c>
      <c r="M120" s="15">
        <f>IF(L115=0,0,L120/L115)</f>
        <v>0</v>
      </c>
      <c r="O120" s="15">
        <f>IF(N115=0,0,N120/N115)</f>
        <v>0</v>
      </c>
      <c r="Q120" s="15">
        <f>IF(P115=0,0,P120/P115)</f>
        <v>0</v>
      </c>
      <c r="R120" s="2">
        <v>1</v>
      </c>
      <c r="S120" s="15">
        <f>IF(R115=0,0,R120/R115)</f>
        <v>0.5</v>
      </c>
      <c r="T120" s="2">
        <v>0</v>
      </c>
      <c r="U120" s="15">
        <f>IF(T115=0,0,T120/T115)</f>
        <v>0</v>
      </c>
      <c r="W120" s="15">
        <f>IF(V115=0,0,V120/V115)</f>
        <v>0</v>
      </c>
      <c r="Y120" s="15">
        <f>IF(X115=0,0,X120/X115)</f>
        <v>0</v>
      </c>
      <c r="AA120" s="15">
        <f>IF(Z115=0,0,Z120/Z115)</f>
        <v>0</v>
      </c>
      <c r="AC120" s="15">
        <f>IF(AB115=0,0,AB120/AB115)</f>
        <v>0</v>
      </c>
      <c r="AE120" s="15">
        <f>IF(AD115=0,0,AD120/AD115)</f>
        <v>0</v>
      </c>
      <c r="AG120" s="15">
        <f>IF(AF115=0,0,AF120/AF115)</f>
        <v>0</v>
      </c>
      <c r="AI120" s="15">
        <f>IF(AH115=0,0,AH120/AH115)</f>
        <v>0</v>
      </c>
      <c r="AK120" s="15">
        <f>IF(AJ115=0,0,AJ120/AJ115)</f>
        <v>0</v>
      </c>
      <c r="AM120" s="15">
        <f>IF(AL115=0,0,AL120/AL115)</f>
        <v>0</v>
      </c>
      <c r="AO120" s="15">
        <f>IF(AN115=0,0,AN120/AN115)</f>
        <v>0</v>
      </c>
      <c r="AP120" s="2">
        <v>1</v>
      </c>
      <c r="AQ120" s="15">
        <f>IF(AP115=0,0,AP120/AP115)</f>
        <v>0.1111111111111111</v>
      </c>
      <c r="AS120" s="15">
        <f>IF(AR115=0,0,AR120/AR115)</f>
        <v>0</v>
      </c>
      <c r="AU120" s="15">
        <f>IF(AT115=0,0,AT120/AT115)</f>
        <v>0</v>
      </c>
      <c r="AW120" s="15">
        <f>IF(AV115=0,0,AV120/AV115)</f>
        <v>0</v>
      </c>
      <c r="AY120" s="15">
        <f>IF(AX115=0,0,AX120/AX115)</f>
        <v>0</v>
      </c>
      <c r="BA120" s="15">
        <f>IF(AZ115=0,0,AZ120/AZ115)</f>
        <v>0</v>
      </c>
      <c r="BC120" s="15">
        <f>IF(BB115=0,0,BB120/BB115)</f>
        <v>0</v>
      </c>
      <c r="BD120" s="9" t="s">
        <v>55</v>
      </c>
      <c r="BE120" s="9" t="s">
        <v>46</v>
      </c>
      <c r="BF120" s="9"/>
      <c r="BG120" s="9"/>
      <c r="BH120" s="9"/>
      <c r="BI120" s="9"/>
      <c r="BJ120" s="9"/>
      <c r="BK120" s="9"/>
      <c r="BL120" s="9" t="s">
        <v>42</v>
      </c>
      <c r="BM120" s="9"/>
      <c r="BN120" s="9"/>
      <c r="BO120" s="9"/>
      <c r="BP120" s="9"/>
      <c r="BQ120" s="9"/>
    </row>
    <row r="121" spans="1:69" x14ac:dyDescent="0.25">
      <c r="A121" s="2" t="s">
        <v>4</v>
      </c>
      <c r="B121" s="2">
        <f t="shared" si="14"/>
        <v>7</v>
      </c>
      <c r="C121" s="15">
        <f t="shared" ref="C121:C128" si="15">E121+G121+I121+K121+M121+O121+Q121+S121+U121+W121+Y121+AA121+AC121+AE121+AG121+AI121+AK121+AM121+AO121+AQ121+AS121+AU121+AW121+AY121+BA121+BC121</f>
        <v>1.45</v>
      </c>
      <c r="D121" s="2">
        <v>1</v>
      </c>
      <c r="E121" s="15">
        <f>IF(D115=0,0,D121/D115)</f>
        <v>0.16666666666666666</v>
      </c>
      <c r="G121" s="15">
        <f>IF(F115=0,0,F121/F115)</f>
        <v>0</v>
      </c>
      <c r="I121" s="15">
        <f>IF(H115=0,0,H121/H115)</f>
        <v>0</v>
      </c>
      <c r="K121" s="15">
        <f>IF(J115=0,0,J121/J115)</f>
        <v>0</v>
      </c>
      <c r="M121" s="15">
        <f>IF(L115=0,0,L121/L115)</f>
        <v>0</v>
      </c>
      <c r="O121" s="15">
        <f>IF(N115=0,0,N121/N115)</f>
        <v>0</v>
      </c>
      <c r="Q121" s="15">
        <f>IF(P115=0,0,P121/P115)</f>
        <v>0</v>
      </c>
      <c r="R121" s="2">
        <v>1</v>
      </c>
      <c r="S121" s="15">
        <f>IF(R115=0,0,R121/R115)</f>
        <v>0.5</v>
      </c>
      <c r="T121" s="2">
        <v>1</v>
      </c>
      <c r="U121" s="15">
        <f>IF(T115=0,0,T121/T115)</f>
        <v>0.2</v>
      </c>
      <c r="W121" s="15">
        <f>IF(V115=0,0,V121/V115)</f>
        <v>0</v>
      </c>
      <c r="Y121" s="15">
        <f>IF(X115=0,0,X121/X115)</f>
        <v>0</v>
      </c>
      <c r="AA121" s="15">
        <f>IF(Z115=0,0,Z121/Z115)</f>
        <v>0</v>
      </c>
      <c r="AC121" s="15">
        <f>IF(AB115=0,0,AB121/AB115)</f>
        <v>0</v>
      </c>
      <c r="AE121" s="15">
        <f>IF(AD115=0,0,AD121/AD115)</f>
        <v>0</v>
      </c>
      <c r="AF121" s="2">
        <v>2</v>
      </c>
      <c r="AG121" s="15">
        <f>IF(AF115=0,0,AF121/AF115)</f>
        <v>0.25</v>
      </c>
      <c r="AI121" s="15">
        <f>IF(AH115=0,0,AH121/AH115)</f>
        <v>0</v>
      </c>
      <c r="AK121" s="15">
        <f>IF(AJ115=0,0,AJ121/AJ115)</f>
        <v>0</v>
      </c>
      <c r="AL121" s="2">
        <v>2</v>
      </c>
      <c r="AM121" s="15">
        <f>IF(AL115=0,0,AL121/AL115)</f>
        <v>0.33333333333333331</v>
      </c>
      <c r="AO121" s="15">
        <f>IF(AN115=0,0,AN121/AN115)</f>
        <v>0</v>
      </c>
      <c r="AQ121" s="15">
        <f>IF(AP115=0,0,AP121/AP115)</f>
        <v>0</v>
      </c>
      <c r="AS121" s="15">
        <f>IF(AR115=0,0,AR121/AR115)</f>
        <v>0</v>
      </c>
      <c r="AU121" s="15">
        <f>IF(AT115=0,0,AT121/AT115)</f>
        <v>0</v>
      </c>
      <c r="AW121" s="15">
        <f>IF(AV115=0,0,AV121/AV115)</f>
        <v>0</v>
      </c>
      <c r="AY121" s="15">
        <f>IF(AX115=0,0,AX121/AX115)</f>
        <v>0</v>
      </c>
      <c r="BA121" s="15">
        <f>IF(AZ115=0,0,AZ121/AZ115)</f>
        <v>0</v>
      </c>
      <c r="BC121" s="15">
        <f>IF(BB115=0,0,BB121/BB115)</f>
        <v>0</v>
      </c>
      <c r="BD121" s="9" t="s">
        <v>56</v>
      </c>
      <c r="BE121" s="9" t="s">
        <v>45</v>
      </c>
      <c r="BF121" s="9"/>
      <c r="BG121" s="9"/>
      <c r="BH121" s="9"/>
      <c r="BI121" s="9"/>
      <c r="BJ121" s="9"/>
      <c r="BK121" s="9"/>
      <c r="BL121" s="9" t="s">
        <v>47</v>
      </c>
      <c r="BM121" s="9"/>
      <c r="BN121" s="9"/>
      <c r="BO121" s="9"/>
      <c r="BP121" s="9"/>
      <c r="BQ121" s="9"/>
    </row>
    <row r="122" spans="1:69" x14ac:dyDescent="0.25">
      <c r="A122" s="2" t="s">
        <v>7</v>
      </c>
      <c r="B122" s="2">
        <f t="shared" si="14"/>
        <v>7</v>
      </c>
      <c r="C122" s="15">
        <f t="shared" si="15"/>
        <v>2.25</v>
      </c>
      <c r="E122" s="15">
        <f>IF(D115=0,0,D122/D115)</f>
        <v>0</v>
      </c>
      <c r="G122" s="15">
        <f>IF(F115=0,0,F122/F115)</f>
        <v>0</v>
      </c>
      <c r="H122" s="2">
        <v>1</v>
      </c>
      <c r="I122" s="15">
        <f>IF(H115=0,0,H122/H115)</f>
        <v>0.5</v>
      </c>
      <c r="K122" s="15">
        <f>IF(J115=0,0,J122/J115)</f>
        <v>0</v>
      </c>
      <c r="M122" s="15">
        <f>IF(L115=0,0,L122/L115)</f>
        <v>0</v>
      </c>
      <c r="O122" s="15">
        <f>IF(N115=0,0,N122/N115)</f>
        <v>0</v>
      </c>
      <c r="Q122" s="15">
        <f>IF(P115=0,0,P122/P115)</f>
        <v>0</v>
      </c>
      <c r="S122" s="15">
        <f>IF(R115=0,0,R122/R115)</f>
        <v>0</v>
      </c>
      <c r="U122" s="15">
        <f>IF(T115=0,0,T122/T115)</f>
        <v>0</v>
      </c>
      <c r="W122" s="15">
        <f>IF(V115=0,0,V122/V115)</f>
        <v>0</v>
      </c>
      <c r="Y122" s="15">
        <f>IF(X115=0,0,X122/X115)</f>
        <v>0</v>
      </c>
      <c r="Z122" s="2">
        <v>1</v>
      </c>
      <c r="AA122" s="15">
        <f>IF(Z115=0,0,Z122/Z115)</f>
        <v>0.5</v>
      </c>
      <c r="AB122" s="2">
        <v>1</v>
      </c>
      <c r="AC122" s="15">
        <f>IF(AB115=0,0,AB122/AB115)</f>
        <v>0.5</v>
      </c>
      <c r="AE122" s="15">
        <f>IF(AD115=0,0,AD122/AD115)</f>
        <v>0</v>
      </c>
      <c r="AF122" s="2">
        <v>2</v>
      </c>
      <c r="AG122" s="15">
        <f>IF(AF115=0,0,AF122/AF115)</f>
        <v>0.25</v>
      </c>
      <c r="AI122" s="15">
        <f>IF(AH115=0,0,AH122/AH115)</f>
        <v>0</v>
      </c>
      <c r="AK122" s="15">
        <f>IF(AJ115=0,0,AJ122/AJ115)</f>
        <v>0</v>
      </c>
      <c r="AM122" s="15">
        <f>IF(AL115=0,0,AL122/AL115)</f>
        <v>0</v>
      </c>
      <c r="AN122" s="2">
        <v>1</v>
      </c>
      <c r="AO122" s="15">
        <f>IF(AN115=0,0,AN122/AN115)</f>
        <v>0.16666666666666666</v>
      </c>
      <c r="AQ122" s="15">
        <f>IF(AP115=0,0,AP122/AP115)</f>
        <v>0</v>
      </c>
      <c r="AR122" s="2">
        <v>1</v>
      </c>
      <c r="AS122" s="15">
        <f>IF(AR115=0,0,AR122/AR115)</f>
        <v>0.33333333333333331</v>
      </c>
      <c r="AU122" s="15">
        <f>IF(AT115=0,0,AT122/AT115)</f>
        <v>0</v>
      </c>
      <c r="AW122" s="15">
        <f>IF(AV115=0,0,AV122/AV115)</f>
        <v>0</v>
      </c>
      <c r="AY122" s="15">
        <f>IF(AX115=0,0,AX122/AX115)</f>
        <v>0</v>
      </c>
      <c r="BA122" s="15">
        <f>IF(AZ115=0,0,AZ122/AZ115)</f>
        <v>0</v>
      </c>
      <c r="BC122" s="15">
        <f>IF(BB115=0,0,BB122/BB115)</f>
        <v>0</v>
      </c>
      <c r="BD122" s="9" t="s">
        <v>57</v>
      </c>
      <c r="BE122" s="9" t="s">
        <v>47</v>
      </c>
      <c r="BF122" s="9"/>
      <c r="BG122" s="9"/>
      <c r="BH122" s="9"/>
      <c r="BI122" s="9"/>
      <c r="BJ122" s="9"/>
      <c r="BK122" s="9"/>
      <c r="BL122" s="9" t="s">
        <v>65</v>
      </c>
      <c r="BM122" s="9"/>
      <c r="BN122" s="9"/>
      <c r="BO122" s="9"/>
      <c r="BP122" s="9"/>
      <c r="BQ122" s="9"/>
    </row>
    <row r="123" spans="1:69" x14ac:dyDescent="0.25">
      <c r="A123" s="2" t="s">
        <v>6</v>
      </c>
      <c r="B123" s="2">
        <f t="shared" si="14"/>
        <v>5</v>
      </c>
      <c r="C123" s="15">
        <f t="shared" si="15"/>
        <v>0.8472222222222221</v>
      </c>
      <c r="E123" s="15">
        <f>IF(D115=0,0,D123/D115)</f>
        <v>0</v>
      </c>
      <c r="G123" s="15">
        <f>IF(F115=0,0,F123/F115)</f>
        <v>0</v>
      </c>
      <c r="I123" s="15">
        <f>IF(H115=0,0,H123/H115)</f>
        <v>0</v>
      </c>
      <c r="K123" s="15">
        <f>IF(J115=0,0,J123/J115)</f>
        <v>0</v>
      </c>
      <c r="M123" s="15">
        <f>IF(L115=0,0,L123/L115)</f>
        <v>0</v>
      </c>
      <c r="O123" s="15">
        <f>IF(N115=0,0,N123/N115)</f>
        <v>0</v>
      </c>
      <c r="Q123" s="15">
        <f>IF(P115=0,0,P123/P115)</f>
        <v>0</v>
      </c>
      <c r="S123" s="15">
        <f>IF(R115=0,0,R123/R115)</f>
        <v>0</v>
      </c>
      <c r="U123" s="15">
        <f>IF(T115=0,0,T123/T115)</f>
        <v>0</v>
      </c>
      <c r="W123" s="15">
        <f>IF(V115=0,0,V123/V115)</f>
        <v>0</v>
      </c>
      <c r="Y123" s="15">
        <f>IF(X115=0,0,X123/X115)</f>
        <v>0</v>
      </c>
      <c r="AA123" s="15">
        <f>IF(Z115=0,0,Z123/Z115)</f>
        <v>0</v>
      </c>
      <c r="AC123" s="15">
        <f>IF(AB115=0,0,AB123/AB115)</f>
        <v>0</v>
      </c>
      <c r="AE123" s="15">
        <f>IF(AD115=0,0,AD123/AD115)</f>
        <v>0</v>
      </c>
      <c r="AF123" s="2">
        <v>1</v>
      </c>
      <c r="AG123" s="15">
        <f>IF(AF115=0,0,AF123/AF115)</f>
        <v>0.125</v>
      </c>
      <c r="AI123" s="15">
        <f>IF(AH115=0,0,AH123/AH115)</f>
        <v>0</v>
      </c>
      <c r="AK123" s="15">
        <f>IF(AJ115=0,0,AJ123/AJ115)</f>
        <v>0</v>
      </c>
      <c r="AL123" s="2">
        <v>1</v>
      </c>
      <c r="AM123" s="15">
        <f>IF(AL115=0,0,AL123/AL115)</f>
        <v>0.16666666666666666</v>
      </c>
      <c r="AO123" s="15">
        <f>IF(AN115=0,0,AN123/AN115)</f>
        <v>0</v>
      </c>
      <c r="AP123" s="2">
        <v>2</v>
      </c>
      <c r="AQ123" s="15">
        <f>IF(AP115=0,0,AP123/AP115)</f>
        <v>0.22222222222222221</v>
      </c>
      <c r="AR123" s="2">
        <v>1</v>
      </c>
      <c r="AS123" s="15">
        <f>IF(AR115=0,0,AR123/AR115)</f>
        <v>0.33333333333333331</v>
      </c>
      <c r="AU123" s="15">
        <f>IF(AT115=0,0,AT123/AT115)</f>
        <v>0</v>
      </c>
      <c r="AW123" s="15">
        <f>IF(AV115=0,0,AV123/AV115)</f>
        <v>0</v>
      </c>
      <c r="AY123" s="15">
        <f>IF(AX115=0,0,AX123/AX115)</f>
        <v>0</v>
      </c>
      <c r="BA123" s="15">
        <f>IF(AZ115=0,0,AZ123/AZ115)</f>
        <v>0</v>
      </c>
      <c r="BC123" s="15">
        <f>IF(BB115=0,0,BB123/BB115)</f>
        <v>0</v>
      </c>
      <c r="BD123" s="9" t="s">
        <v>58</v>
      </c>
      <c r="BE123" s="9" t="s">
        <v>47</v>
      </c>
      <c r="BF123" s="9"/>
      <c r="BG123" s="9"/>
      <c r="BH123" s="9"/>
      <c r="BI123" s="9"/>
      <c r="BJ123" s="9"/>
      <c r="BK123" s="9"/>
      <c r="BL123" s="9" t="s">
        <v>63</v>
      </c>
      <c r="BM123" s="9"/>
      <c r="BN123" s="9"/>
      <c r="BO123" s="9"/>
      <c r="BP123" s="9"/>
      <c r="BQ123" s="9"/>
    </row>
    <row r="124" spans="1:69" x14ac:dyDescent="0.25">
      <c r="A124" s="2" t="s">
        <v>8</v>
      </c>
      <c r="B124" s="2">
        <f t="shared" si="14"/>
        <v>5</v>
      </c>
      <c r="C124" s="15">
        <f t="shared" si="15"/>
        <v>1.2666666666666668</v>
      </c>
      <c r="E124" s="15">
        <f>IF(D115=0,0,D124/D115)</f>
        <v>0</v>
      </c>
      <c r="F124" s="2">
        <v>1</v>
      </c>
      <c r="G124" s="15">
        <f>IF(F115=0,0,F124/F115)</f>
        <v>0.2</v>
      </c>
      <c r="I124" s="15">
        <f>IF(H115=0,0,H124/H115)</f>
        <v>0</v>
      </c>
      <c r="K124" s="15">
        <f>IF(J115=0,0,J124/J115)</f>
        <v>0</v>
      </c>
      <c r="L124" s="2">
        <v>2</v>
      </c>
      <c r="M124" s="15">
        <f>IF(L115=0,0,L124/L115)</f>
        <v>0.4</v>
      </c>
      <c r="O124" s="15">
        <f>IF(N115=0,0,N124/N115)</f>
        <v>0</v>
      </c>
      <c r="Q124" s="15">
        <f>IF(P115=0,0,P124/P115)</f>
        <v>0</v>
      </c>
      <c r="S124" s="15">
        <f>IF(R115=0,0,R124/R115)</f>
        <v>0</v>
      </c>
      <c r="U124" s="15">
        <f>IF(T115=0,0,T124/T115)</f>
        <v>0</v>
      </c>
      <c r="W124" s="15">
        <f>IF(V115=0,0,V124/V115)</f>
        <v>0</v>
      </c>
      <c r="Y124" s="15">
        <f>IF(X115=0,0,X124/X115)</f>
        <v>0</v>
      </c>
      <c r="Z124" s="2">
        <v>1</v>
      </c>
      <c r="AA124" s="15">
        <f>IF(Z115=0,0,Z124/Z115)</f>
        <v>0.5</v>
      </c>
      <c r="AC124" s="15">
        <f>IF(AB115=0,0,AB124/AB115)</f>
        <v>0</v>
      </c>
      <c r="AE124" s="15">
        <f>IF(AD115=0,0,AD124/AD115)</f>
        <v>0</v>
      </c>
      <c r="AG124" s="15">
        <f>IF(AF115=0,0,AF124/AF115)</f>
        <v>0</v>
      </c>
      <c r="AI124" s="15">
        <f>IF(AH115=0,0,AH124/AH115)</f>
        <v>0</v>
      </c>
      <c r="AK124" s="15">
        <f>IF(AJ115=0,0,AJ124/AJ115)</f>
        <v>0</v>
      </c>
      <c r="AL124" s="2">
        <v>1</v>
      </c>
      <c r="AM124" s="15">
        <f>IF(AL115=0,0,AL124/AL115)</f>
        <v>0.16666666666666666</v>
      </c>
      <c r="AO124" s="15">
        <f>IF(AN115=0,0,AN124/AN115)</f>
        <v>0</v>
      </c>
      <c r="AQ124" s="15">
        <f>IF(AP115=0,0,AP124/AP115)</f>
        <v>0</v>
      </c>
      <c r="AS124" s="15">
        <f>IF(AR115=0,0,AR124/AR115)</f>
        <v>0</v>
      </c>
      <c r="AU124" s="15">
        <f>IF(AT115=0,0,AT124/AT115)</f>
        <v>0</v>
      </c>
      <c r="AW124" s="15">
        <f>IF(AV115=0,0,AV124/AV115)</f>
        <v>0</v>
      </c>
      <c r="AY124" s="15">
        <f>IF(AX115=0,0,AX124/AX115)</f>
        <v>0</v>
      </c>
      <c r="BA124" s="15">
        <f>IF(AZ115=0,0,AZ124/AZ115)</f>
        <v>0</v>
      </c>
      <c r="BC124" s="15">
        <f>IF(BB115=0,0,BB124/BB115)</f>
        <v>0</v>
      </c>
      <c r="BD124" s="9" t="s">
        <v>59</v>
      </c>
      <c r="BE124" s="9" t="s">
        <v>45</v>
      </c>
      <c r="BF124" s="9"/>
      <c r="BG124" s="9"/>
      <c r="BH124" s="9" t="s">
        <v>66</v>
      </c>
      <c r="BI124" s="9" t="s">
        <v>48</v>
      </c>
      <c r="BJ124" s="9" t="s">
        <v>49</v>
      </c>
      <c r="BK124" s="9" t="s">
        <v>42</v>
      </c>
      <c r="BL124" s="9" t="s">
        <v>44</v>
      </c>
      <c r="BM124" s="9" t="s">
        <v>48</v>
      </c>
      <c r="BN124" s="9" t="s">
        <v>44</v>
      </c>
      <c r="BO124" s="9"/>
      <c r="BP124" s="9"/>
      <c r="BQ124" s="9"/>
    </row>
    <row r="125" spans="1:69" x14ac:dyDescent="0.25">
      <c r="A125" s="2" t="s">
        <v>10</v>
      </c>
      <c r="B125" s="2">
        <f t="shared" si="14"/>
        <v>3</v>
      </c>
      <c r="C125" s="15">
        <f t="shared" si="15"/>
        <v>0.56666666666666665</v>
      </c>
      <c r="D125" s="2">
        <v>1</v>
      </c>
      <c r="E125" s="15">
        <f>IF(D115=0,0,D125/D115)</f>
        <v>0.16666666666666666</v>
      </c>
      <c r="F125" s="2">
        <v>1</v>
      </c>
      <c r="G125" s="15">
        <f>IF(F115=0,0,F125/F115)</f>
        <v>0.2</v>
      </c>
      <c r="I125" s="15">
        <f>IF(H115=0,0,H125/H115)</f>
        <v>0</v>
      </c>
      <c r="K125" s="15">
        <f>IF(J115=0,0,J125/J115)</f>
        <v>0</v>
      </c>
      <c r="M125" s="15">
        <f>IF(L115=0,0,L125/L115)</f>
        <v>0</v>
      </c>
      <c r="O125" s="15">
        <f>IF(N115=0,0,N125/N115)</f>
        <v>0</v>
      </c>
      <c r="Q125" s="15">
        <f>IF(P115=0,0,P125/P115)</f>
        <v>0</v>
      </c>
      <c r="S125" s="15">
        <f>IF(R115=0,0,R125/R115)</f>
        <v>0</v>
      </c>
      <c r="T125" s="2">
        <v>1</v>
      </c>
      <c r="U125" s="15">
        <f>IF(T115=0,0,T125/T115)</f>
        <v>0.2</v>
      </c>
      <c r="W125" s="15">
        <f>IF(V115=0,0,V125/V115)</f>
        <v>0</v>
      </c>
      <c r="Y125" s="15">
        <f>IF(X115=0,0,X125/X115)</f>
        <v>0</v>
      </c>
      <c r="AA125" s="15">
        <f>IF(Z115=0,0,Z125/Z115)</f>
        <v>0</v>
      </c>
      <c r="AC125" s="15">
        <f>IF(AB115=0,0,AB125/AB115)</f>
        <v>0</v>
      </c>
      <c r="AE125" s="15">
        <f>IF(AD115=0,0,AD125/AD115)</f>
        <v>0</v>
      </c>
      <c r="AG125" s="15">
        <f>IF(AF115=0,0,AF125/AF115)</f>
        <v>0</v>
      </c>
      <c r="AI125" s="15">
        <f>IF(AH115=0,0,AH125/AH115)</f>
        <v>0</v>
      </c>
      <c r="AK125" s="15">
        <f>IF(AJ115=0,0,AJ125/AJ115)</f>
        <v>0</v>
      </c>
      <c r="AM125" s="15">
        <f>IF(AL115=0,0,AL125/AL115)</f>
        <v>0</v>
      </c>
      <c r="AO125" s="15">
        <f>IF(AN115=0,0,AN125/AN115)</f>
        <v>0</v>
      </c>
      <c r="AQ125" s="15">
        <f>IF(AP115=0,0,AP125/AP115)</f>
        <v>0</v>
      </c>
      <c r="AS125" s="15">
        <f>IF(AR115=0,0,AR125/AR115)</f>
        <v>0</v>
      </c>
      <c r="AU125" s="15">
        <f>IF(AT115=0,0,AT125/AT115)</f>
        <v>0</v>
      </c>
      <c r="AW125" s="15">
        <f>IF(AV115=0,0,AV125/AV115)</f>
        <v>0</v>
      </c>
      <c r="AY125" s="15">
        <f>IF(AX115=0,0,AX125/AX115)</f>
        <v>0</v>
      </c>
      <c r="BA125" s="15">
        <f>IF(AZ115=0,0,AZ125/AZ115)</f>
        <v>0</v>
      </c>
      <c r="BC125" s="15">
        <f>IF(BB115=0,0,BB125/BB115)</f>
        <v>0</v>
      </c>
      <c r="BD125" s="9" t="s">
        <v>60</v>
      </c>
      <c r="BE125" s="9"/>
      <c r="BF125" s="9"/>
      <c r="BG125" s="9"/>
      <c r="BH125" s="9"/>
      <c r="BI125" s="9"/>
      <c r="BJ125" s="9"/>
      <c r="BK125" s="9"/>
      <c r="BL125" s="9" t="s">
        <v>45</v>
      </c>
      <c r="BM125" s="9"/>
      <c r="BN125" s="9"/>
      <c r="BO125" s="9"/>
      <c r="BP125" s="9"/>
      <c r="BQ125" s="9"/>
    </row>
    <row r="126" spans="1:69" x14ac:dyDescent="0.25">
      <c r="A126" s="2" t="s">
        <v>12</v>
      </c>
      <c r="B126" s="2">
        <f t="shared" si="14"/>
        <v>3</v>
      </c>
      <c r="C126" s="15">
        <f t="shared" si="15"/>
        <v>0.8666666666666667</v>
      </c>
      <c r="D126" s="2">
        <v>1</v>
      </c>
      <c r="E126" s="15">
        <f>IF(D115=0,0,D126/D115)</f>
        <v>0.16666666666666666</v>
      </c>
      <c r="G126" s="15">
        <f>IF(F115=0,0,F126/F115)</f>
        <v>0</v>
      </c>
      <c r="I126" s="15">
        <f>IF(H115=0,0,H126/H115)</f>
        <v>0</v>
      </c>
      <c r="K126" s="15">
        <f>IF(J115=0,0,J126/J115)</f>
        <v>0</v>
      </c>
      <c r="M126" s="15">
        <f>IF(L115=0,0,L126/L115)</f>
        <v>0</v>
      </c>
      <c r="O126" s="15">
        <f>IF(N115=0,0,N126/N115)</f>
        <v>0</v>
      </c>
      <c r="Q126" s="15">
        <f>IF(P115=0,0,P126/P115)</f>
        <v>0</v>
      </c>
      <c r="S126" s="15">
        <f>IF(R115=0,0,R126/R115)</f>
        <v>0</v>
      </c>
      <c r="T126" s="2">
        <v>1</v>
      </c>
      <c r="U126" s="15">
        <f>IF(T115=0,0,T126/T115)</f>
        <v>0.2</v>
      </c>
      <c r="W126" s="15">
        <f>IF(V115=0,0,V126/V115)</f>
        <v>0</v>
      </c>
      <c r="Y126" s="15">
        <f>IF(X115=0,0,X126/X115)</f>
        <v>0</v>
      </c>
      <c r="AA126" s="15">
        <f>IF(Z115=0,0,Z126/Z115)</f>
        <v>0</v>
      </c>
      <c r="AB126" s="2">
        <v>1</v>
      </c>
      <c r="AC126" s="15">
        <f>IF(AB115=0,0,AB126/AB115)</f>
        <v>0.5</v>
      </c>
      <c r="AE126" s="15">
        <f>IF(AD115=0,0,AD126/AD115)</f>
        <v>0</v>
      </c>
      <c r="AG126" s="15">
        <f>IF(AF115=0,0,AF126/AF115)</f>
        <v>0</v>
      </c>
      <c r="AI126" s="15">
        <f>IF(AH115=0,0,AH126/AH115)</f>
        <v>0</v>
      </c>
      <c r="AK126" s="15">
        <f>IF(AJ115=0,0,AJ126/AJ115)</f>
        <v>0</v>
      </c>
      <c r="AM126" s="15">
        <f>IF(AL115=0,0,AL126/AL115)</f>
        <v>0</v>
      </c>
      <c r="AO126" s="15">
        <f>IF(AN115=0,0,AN126/AN115)</f>
        <v>0</v>
      </c>
      <c r="AQ126" s="15">
        <f>IF(AP115=0,0,AP126/AP115)</f>
        <v>0</v>
      </c>
      <c r="AS126" s="15">
        <f>IF(AR115=0,0,AR126/AR115)</f>
        <v>0</v>
      </c>
      <c r="AU126" s="15">
        <f>IF(AT115=0,0,AT126/AT115)</f>
        <v>0</v>
      </c>
      <c r="AW126" s="15">
        <f>IF(AV115=0,0,AV126/AV115)</f>
        <v>0</v>
      </c>
      <c r="AY126" s="15">
        <f>IF(AX115=0,0,AX126/AX115)</f>
        <v>0</v>
      </c>
      <c r="BA126" s="15">
        <f>IF(AZ115=0,0,AZ126/AZ115)</f>
        <v>0</v>
      </c>
      <c r="BC126" s="15">
        <f>IF(BB115=0,0,BB126/BB115)</f>
        <v>0</v>
      </c>
      <c r="BD126" s="9" t="s">
        <v>61</v>
      </c>
      <c r="BE126" s="9"/>
      <c r="BF126" s="9"/>
      <c r="BG126" s="9"/>
      <c r="BH126" s="9"/>
      <c r="BI126" s="9"/>
      <c r="BJ126" s="9"/>
      <c r="BK126" s="9"/>
      <c r="BL126" s="9" t="s">
        <v>65</v>
      </c>
      <c r="BM126" s="9"/>
      <c r="BN126" s="9"/>
      <c r="BO126" s="9"/>
      <c r="BP126" s="9"/>
      <c r="BQ126" s="9"/>
    </row>
    <row r="127" spans="1:69" x14ac:dyDescent="0.25">
      <c r="A127" s="2" t="s">
        <v>9</v>
      </c>
      <c r="B127" s="2">
        <f t="shared" si="14"/>
        <v>3</v>
      </c>
      <c r="C127" s="15">
        <f t="shared" si="15"/>
        <v>0.4777777777777778</v>
      </c>
      <c r="E127" s="15">
        <f>IF(D115=0,0,D127/D115)</f>
        <v>0</v>
      </c>
      <c r="G127" s="15">
        <f>IF(F115=0,0,F127/F115)</f>
        <v>0</v>
      </c>
      <c r="I127" s="15">
        <f>IF(H115=0,0,H127/H115)</f>
        <v>0</v>
      </c>
      <c r="K127" s="15">
        <f>IF(J115=0,0,J127/J115)</f>
        <v>0</v>
      </c>
      <c r="L127" s="2">
        <v>1</v>
      </c>
      <c r="M127" s="15">
        <f>IF(L115=0,0,L127/L115)</f>
        <v>0.2</v>
      </c>
      <c r="O127" s="15">
        <f>IF(N115=0,0,N127/N115)</f>
        <v>0</v>
      </c>
      <c r="Q127" s="15">
        <f>IF(P115=0,0,P127/P115)</f>
        <v>0</v>
      </c>
      <c r="S127" s="15">
        <f>IF(R115=0,0,R127/R115)</f>
        <v>0</v>
      </c>
      <c r="U127" s="15">
        <f>IF(T115=0,0,T127/T115)</f>
        <v>0</v>
      </c>
      <c r="W127" s="15">
        <f>IF(V115=0,0,V127/V115)</f>
        <v>0</v>
      </c>
      <c r="Y127" s="15">
        <f>IF(X115=0,0,X127/X115)</f>
        <v>0</v>
      </c>
      <c r="AA127" s="15">
        <f>IF(Z115=0,0,Z127/Z115)</f>
        <v>0</v>
      </c>
      <c r="AC127" s="15">
        <f>IF(AB115=0,0,AB127/AB115)</f>
        <v>0</v>
      </c>
      <c r="AE127" s="15">
        <f>IF(AD115=0,0,AD127/AD115)</f>
        <v>0</v>
      </c>
      <c r="AG127" s="15">
        <f>IF(AF115=0,0,AF127/AF115)</f>
        <v>0</v>
      </c>
      <c r="AI127" s="15">
        <f>IF(AH115=0,0,AH127/AH115)</f>
        <v>0</v>
      </c>
      <c r="AK127" s="15">
        <f>IF(AJ115=0,0,AJ127/AJ115)</f>
        <v>0</v>
      </c>
      <c r="AM127" s="15">
        <f>IF(AL115=0,0,AL127/AL115)</f>
        <v>0</v>
      </c>
      <c r="AN127" s="2">
        <v>1</v>
      </c>
      <c r="AO127" s="15">
        <f>IF(AN115=0,0,AN127/AN115)</f>
        <v>0.16666666666666666</v>
      </c>
      <c r="AP127" s="2">
        <v>1</v>
      </c>
      <c r="AQ127" s="15">
        <f>IF(AP115=0,0,AP127/AP115)</f>
        <v>0.1111111111111111</v>
      </c>
      <c r="AS127" s="15">
        <f>IF(AR115=0,0,AR127/AR115)</f>
        <v>0</v>
      </c>
      <c r="AU127" s="15">
        <f>IF(AT115=0,0,AT127/AT115)</f>
        <v>0</v>
      </c>
      <c r="AW127" s="15">
        <f>IF(AV115=0,0,AV127/AV115)</f>
        <v>0</v>
      </c>
      <c r="AY127" s="15">
        <f>IF(AX115=0,0,AX127/AX115)</f>
        <v>0</v>
      </c>
      <c r="BA127" s="15">
        <f>IF(AZ115=0,0,AZ127/AZ115)</f>
        <v>0</v>
      </c>
      <c r="BC127" s="15">
        <f>IF(BB115=0,0,BB127/BB115)</f>
        <v>0</v>
      </c>
      <c r="BD127" s="9" t="s">
        <v>62</v>
      </c>
      <c r="BE127" s="9"/>
      <c r="BF127" s="9"/>
      <c r="BG127" s="9"/>
      <c r="BH127" s="9"/>
      <c r="BI127" s="9" t="s">
        <v>44</v>
      </c>
      <c r="BJ127" s="9" t="s">
        <v>67</v>
      </c>
      <c r="BK127" s="9" t="s">
        <v>49</v>
      </c>
      <c r="BL127" s="9" t="s">
        <v>48</v>
      </c>
      <c r="BM127" s="9" t="s">
        <v>46</v>
      </c>
      <c r="BN127" s="9" t="s">
        <v>48</v>
      </c>
      <c r="BO127" s="9" t="s">
        <v>63</v>
      </c>
      <c r="BP127" s="9"/>
      <c r="BQ127" s="9"/>
    </row>
    <row r="128" spans="1:69" x14ac:dyDescent="0.25">
      <c r="A128" s="2" t="s">
        <v>11</v>
      </c>
      <c r="B128" s="2">
        <f t="shared" si="14"/>
        <v>3</v>
      </c>
      <c r="C128" s="15">
        <f t="shared" si="15"/>
        <v>1.2916666666666667</v>
      </c>
      <c r="E128" s="15">
        <f>IF(D115=0,0,D128/D115)</f>
        <v>0</v>
      </c>
      <c r="G128" s="15">
        <f>IF(F115=0,0,F128/F115)</f>
        <v>0</v>
      </c>
      <c r="I128" s="15">
        <f>IF(H115=0,0,H128/H115)</f>
        <v>0</v>
      </c>
      <c r="K128" s="15">
        <f>IF(J115=0,0,J128/J115)</f>
        <v>0</v>
      </c>
      <c r="M128" s="15">
        <f>IF(L115=0,0,L128/L115)</f>
        <v>0</v>
      </c>
      <c r="O128" s="15">
        <f>IF(N115=0,0,N128/N115)</f>
        <v>0</v>
      </c>
      <c r="Q128" s="15">
        <f>IF(P115=0,0,P128/P115)</f>
        <v>0</v>
      </c>
      <c r="S128" s="15">
        <f>IF(R115=0,0,R128/R115)</f>
        <v>0</v>
      </c>
      <c r="U128" s="15">
        <f>IF(T115=0,0,T128/T115)</f>
        <v>0</v>
      </c>
      <c r="W128" s="15">
        <f>IF(V115=0,0,V128/V115)</f>
        <v>0</v>
      </c>
      <c r="Y128" s="15">
        <f>IF(X115=0,0,X128/X115)</f>
        <v>0</v>
      </c>
      <c r="AA128" s="15">
        <f>IF(Z115=0,0,Z128/Z115)</f>
        <v>0</v>
      </c>
      <c r="AC128" s="15">
        <f>IF(AB115=0,0,AB128/AB115)</f>
        <v>0</v>
      </c>
      <c r="AE128" s="15">
        <f>IF(AD115=0,0,AD128/AD115)</f>
        <v>0</v>
      </c>
      <c r="AF128" s="2">
        <v>1</v>
      </c>
      <c r="AG128" s="15">
        <f>IF(AF115=0,0,AF128/AF115)</f>
        <v>0.125</v>
      </c>
      <c r="AH128" s="2">
        <v>1</v>
      </c>
      <c r="AI128" s="15">
        <f>IF(AH115=0,0,AH128/AH115)</f>
        <v>1</v>
      </c>
      <c r="AK128" s="15">
        <f>IF(AJ115=0,0,AJ128/AJ115)</f>
        <v>0</v>
      </c>
      <c r="AM128" s="15">
        <f>IF(AL115=0,0,AL128/AL115)</f>
        <v>0</v>
      </c>
      <c r="AN128" s="2">
        <v>1</v>
      </c>
      <c r="AO128" s="15">
        <f>IF(AN115=0,0,AN128/AN115)</f>
        <v>0.16666666666666666</v>
      </c>
      <c r="AQ128" s="15">
        <f>IF(AP115=0,0,AP128/AP115)</f>
        <v>0</v>
      </c>
      <c r="AS128" s="15">
        <f>IF(AR115=0,0,AR128/AR115)</f>
        <v>0</v>
      </c>
      <c r="AU128" s="15">
        <f>IF(AT115=0,0,AT128/AT115)</f>
        <v>0</v>
      </c>
      <c r="AW128" s="15">
        <f>IF(AV115=0,0,AV128/AV115)</f>
        <v>0</v>
      </c>
      <c r="AY128" s="15">
        <f>IF(AX115=0,0,AX128/AX115)</f>
        <v>0</v>
      </c>
      <c r="BA128" s="15">
        <f>IF(AZ115=0,0,AZ128/AZ115)</f>
        <v>0</v>
      </c>
      <c r="BC128" s="15">
        <f>IF(BB115=0,0,BB128/BB115)</f>
        <v>0</v>
      </c>
    </row>
  </sheetData>
  <mergeCells count="260">
    <mergeCell ref="AT114:AU114"/>
    <mergeCell ref="AV114:AW114"/>
    <mergeCell ref="AX114:AY114"/>
    <mergeCell ref="AZ114:BA114"/>
    <mergeCell ref="BB114:BC114"/>
    <mergeCell ref="AX98:AY98"/>
    <mergeCell ref="AZ98:BA98"/>
    <mergeCell ref="BB98:BC98"/>
    <mergeCell ref="D114:E114"/>
    <mergeCell ref="F114:G114"/>
    <mergeCell ref="H114:I114"/>
    <mergeCell ref="J114:K114"/>
    <mergeCell ref="L114:M114"/>
    <mergeCell ref="N114:O114"/>
    <mergeCell ref="P114:Q114"/>
    <mergeCell ref="R114:S114"/>
    <mergeCell ref="T114:U114"/>
    <mergeCell ref="V114:W114"/>
    <mergeCell ref="X114:Y114"/>
    <mergeCell ref="Z114:AA114"/>
    <mergeCell ref="AB114:AC114"/>
    <mergeCell ref="AD114:AE114"/>
    <mergeCell ref="AF114:AG114"/>
    <mergeCell ref="AH114:AI114"/>
    <mergeCell ref="AJ114:AK114"/>
    <mergeCell ref="AL114:AM114"/>
    <mergeCell ref="AN114:AO114"/>
    <mergeCell ref="AP114:AQ114"/>
    <mergeCell ref="AR114:AS114"/>
    <mergeCell ref="BB82:BC82"/>
    <mergeCell ref="D98:E98"/>
    <mergeCell ref="F98:G98"/>
    <mergeCell ref="H98:I98"/>
    <mergeCell ref="J98:K98"/>
    <mergeCell ref="L98:M98"/>
    <mergeCell ref="N98:O98"/>
    <mergeCell ref="P98:Q98"/>
    <mergeCell ref="R98:S98"/>
    <mergeCell ref="T98:U98"/>
    <mergeCell ref="V98:W98"/>
    <mergeCell ref="X98:Y98"/>
    <mergeCell ref="Z98:AA98"/>
    <mergeCell ref="AB98:AC98"/>
    <mergeCell ref="AD98:AE98"/>
    <mergeCell ref="AF98:AG98"/>
    <mergeCell ref="AH98:AI98"/>
    <mergeCell ref="AJ98:AK98"/>
    <mergeCell ref="AL98:AM98"/>
    <mergeCell ref="AN98:AO98"/>
    <mergeCell ref="AP98:AQ98"/>
    <mergeCell ref="AR98:AS98"/>
    <mergeCell ref="AT98:AU98"/>
    <mergeCell ref="AV98:AW98"/>
    <mergeCell ref="AJ82:AK82"/>
    <mergeCell ref="AL82:AM82"/>
    <mergeCell ref="AN82:AO82"/>
    <mergeCell ref="AP82:AQ82"/>
    <mergeCell ref="AR82:AS82"/>
    <mergeCell ref="AT82:AU82"/>
    <mergeCell ref="AV82:AW82"/>
    <mergeCell ref="AX82:AY82"/>
    <mergeCell ref="AZ82:BA82"/>
    <mergeCell ref="AN66:AO66"/>
    <mergeCell ref="AP66:AQ66"/>
    <mergeCell ref="AR66:AS66"/>
    <mergeCell ref="AT66:AU66"/>
    <mergeCell ref="AV66:AW66"/>
    <mergeCell ref="AX66:AY66"/>
    <mergeCell ref="AZ66:BA66"/>
    <mergeCell ref="BB66:BC66"/>
    <mergeCell ref="D82:E82"/>
    <mergeCell ref="F82:G82"/>
    <mergeCell ref="H82:I82"/>
    <mergeCell ref="J82:K82"/>
    <mergeCell ref="L82:M82"/>
    <mergeCell ref="N82:O82"/>
    <mergeCell ref="P82:Q82"/>
    <mergeCell ref="R82:S82"/>
    <mergeCell ref="T82:U82"/>
    <mergeCell ref="V82:W82"/>
    <mergeCell ref="X82:Y82"/>
    <mergeCell ref="Z82:AA82"/>
    <mergeCell ref="AB82:AC82"/>
    <mergeCell ref="AD82:AE82"/>
    <mergeCell ref="AF82:AG82"/>
    <mergeCell ref="AH82:AI82"/>
    <mergeCell ref="V66:W66"/>
    <mergeCell ref="X66:Y66"/>
    <mergeCell ref="Z66:AA66"/>
    <mergeCell ref="AB66:AC66"/>
    <mergeCell ref="AD66:AE66"/>
    <mergeCell ref="AF66:AG66"/>
    <mergeCell ref="AH66:AI66"/>
    <mergeCell ref="AJ66:AK66"/>
    <mergeCell ref="AL66:AM66"/>
    <mergeCell ref="D66:E66"/>
    <mergeCell ref="F66:G66"/>
    <mergeCell ref="H66:I66"/>
    <mergeCell ref="J66:K66"/>
    <mergeCell ref="L66:M66"/>
    <mergeCell ref="N66:O66"/>
    <mergeCell ref="P66:Q66"/>
    <mergeCell ref="R66:S66"/>
    <mergeCell ref="T66:U66"/>
    <mergeCell ref="AL50:AM50"/>
    <mergeCell ref="AN50:AO50"/>
    <mergeCell ref="AP50:AQ50"/>
    <mergeCell ref="AR50:AS50"/>
    <mergeCell ref="AT50:AU50"/>
    <mergeCell ref="AV50:AW50"/>
    <mergeCell ref="AX50:AY50"/>
    <mergeCell ref="AZ50:BA50"/>
    <mergeCell ref="BB50:BC50"/>
    <mergeCell ref="AP34:AQ34"/>
    <mergeCell ref="AR34:AS34"/>
    <mergeCell ref="AT34:AU34"/>
    <mergeCell ref="AV34:AW34"/>
    <mergeCell ref="AX34:AY34"/>
    <mergeCell ref="AZ34:BA34"/>
    <mergeCell ref="BB34:BC34"/>
    <mergeCell ref="D50:E50"/>
    <mergeCell ref="F50:G50"/>
    <mergeCell ref="H50:I50"/>
    <mergeCell ref="J50:K50"/>
    <mergeCell ref="L50:M50"/>
    <mergeCell ref="N50:O50"/>
    <mergeCell ref="P50:Q50"/>
    <mergeCell ref="R50:S50"/>
    <mergeCell ref="T50:U50"/>
    <mergeCell ref="V50:W50"/>
    <mergeCell ref="X50:Y50"/>
    <mergeCell ref="Z50:AA50"/>
    <mergeCell ref="AB50:AC50"/>
    <mergeCell ref="AD50:AE50"/>
    <mergeCell ref="AF50:AG50"/>
    <mergeCell ref="AH50:AI50"/>
    <mergeCell ref="AJ50:AK50"/>
    <mergeCell ref="AT33:AU33"/>
    <mergeCell ref="AV33:AW33"/>
    <mergeCell ref="AX33:AY33"/>
    <mergeCell ref="AZ33:BA33"/>
    <mergeCell ref="BB33:BC33"/>
    <mergeCell ref="D34:E34"/>
    <mergeCell ref="F34:G34"/>
    <mergeCell ref="H34:I34"/>
    <mergeCell ref="J34:K34"/>
    <mergeCell ref="L34:M34"/>
    <mergeCell ref="N34:O34"/>
    <mergeCell ref="P34:Q34"/>
    <mergeCell ref="R34:S34"/>
    <mergeCell ref="T34:U34"/>
    <mergeCell ref="V34:W34"/>
    <mergeCell ref="X34:Y34"/>
    <mergeCell ref="Z34:AA34"/>
    <mergeCell ref="AB34:AC34"/>
    <mergeCell ref="AD34:AE34"/>
    <mergeCell ref="AF34:AG34"/>
    <mergeCell ref="AH34:AI34"/>
    <mergeCell ref="AJ34:AK34"/>
    <mergeCell ref="AL34:AM34"/>
    <mergeCell ref="AN34:AO34"/>
    <mergeCell ref="AX18:AY18"/>
    <mergeCell ref="AZ18:BA18"/>
    <mergeCell ref="BB18:BC18"/>
    <mergeCell ref="D33:E33"/>
    <mergeCell ref="F33:G33"/>
    <mergeCell ref="H33:I33"/>
    <mergeCell ref="J33:K33"/>
    <mergeCell ref="L33:M33"/>
    <mergeCell ref="N33:O33"/>
    <mergeCell ref="P33:Q33"/>
    <mergeCell ref="R33:S33"/>
    <mergeCell ref="T33:U33"/>
    <mergeCell ref="V33:W33"/>
    <mergeCell ref="X33:Y33"/>
    <mergeCell ref="Z33:AA33"/>
    <mergeCell ref="AB33:AC33"/>
    <mergeCell ref="AD33:AE33"/>
    <mergeCell ref="AF33:AG33"/>
    <mergeCell ref="AH33:AI33"/>
    <mergeCell ref="AJ33:AK33"/>
    <mergeCell ref="AL33:AM33"/>
    <mergeCell ref="AN33:AO33"/>
    <mergeCell ref="AP33:AQ33"/>
    <mergeCell ref="AR33:AS33"/>
    <mergeCell ref="BB16:BC16"/>
    <mergeCell ref="D18:E18"/>
    <mergeCell ref="F18:G18"/>
    <mergeCell ref="H18:I18"/>
    <mergeCell ref="J18:K18"/>
    <mergeCell ref="L18:M18"/>
    <mergeCell ref="N18:O18"/>
    <mergeCell ref="P18:Q18"/>
    <mergeCell ref="R18:S18"/>
    <mergeCell ref="T18:U18"/>
    <mergeCell ref="V18:W18"/>
    <mergeCell ref="X18:Y18"/>
    <mergeCell ref="Z18:AA18"/>
    <mergeCell ref="AB18:AC18"/>
    <mergeCell ref="AD18:AE18"/>
    <mergeCell ref="AF18:AG18"/>
    <mergeCell ref="AH18:AI18"/>
    <mergeCell ref="AJ18:AK18"/>
    <mergeCell ref="AL18:AM18"/>
    <mergeCell ref="AN18:AO18"/>
    <mergeCell ref="AP18:AQ18"/>
    <mergeCell ref="AR18:AS18"/>
    <mergeCell ref="AT18:AU18"/>
    <mergeCell ref="AV18:AW18"/>
    <mergeCell ref="AJ16:AK16"/>
    <mergeCell ref="AL16:AM16"/>
    <mergeCell ref="AN16:AO16"/>
    <mergeCell ref="AP16:AQ16"/>
    <mergeCell ref="AR16:AS16"/>
    <mergeCell ref="AT16:AU16"/>
    <mergeCell ref="AV16:AW16"/>
    <mergeCell ref="AX16:AY16"/>
    <mergeCell ref="AZ16:BA16"/>
    <mergeCell ref="AN1:AO1"/>
    <mergeCell ref="AP1:AQ1"/>
    <mergeCell ref="AR1:AS1"/>
    <mergeCell ref="AT1:AU1"/>
    <mergeCell ref="AV1:AW1"/>
    <mergeCell ref="AX1:AY1"/>
    <mergeCell ref="AZ1:BA1"/>
    <mergeCell ref="BB1:BC1"/>
    <mergeCell ref="D16:E16"/>
    <mergeCell ref="F16:G16"/>
    <mergeCell ref="H16:I16"/>
    <mergeCell ref="J16:K16"/>
    <mergeCell ref="L16:M16"/>
    <mergeCell ref="N16:O16"/>
    <mergeCell ref="P16:Q16"/>
    <mergeCell ref="R16:S16"/>
    <mergeCell ref="T16:U16"/>
    <mergeCell ref="V16:W16"/>
    <mergeCell ref="X16:Y16"/>
    <mergeCell ref="Z16:AA16"/>
    <mergeCell ref="AB16:AC16"/>
    <mergeCell ref="AD16:AE16"/>
    <mergeCell ref="AF16:AG16"/>
    <mergeCell ref="AH16:AI16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D1:E1"/>
    <mergeCell ref="F1:G1"/>
    <mergeCell ref="H1:I1"/>
    <mergeCell ref="J1:K1"/>
    <mergeCell ref="L1:M1"/>
    <mergeCell ref="N1:O1"/>
    <mergeCell ref="P1:Q1"/>
    <mergeCell ref="R1:S1"/>
    <mergeCell ref="T1:U1"/>
  </mergeCells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Roman,Regular"&amp;12&amp;A</oddHeader>
    <oddFooter>&amp;C&amp;"Times New Roman,Regular"&amp;12Página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32"/>
  <sheetViews>
    <sheetView showZeros="0" zoomScaleNormal="100" workbookViewId="0">
      <selection activeCell="T22" sqref="T22"/>
    </sheetView>
  </sheetViews>
  <sheetFormatPr defaultRowHeight="15" x14ac:dyDescent="0.25"/>
  <cols>
    <col min="1" max="1" width="2.28515625" customWidth="1"/>
    <col min="2" max="2" width="10.140625" customWidth="1"/>
    <col min="3" max="3" width="1.85546875" customWidth="1"/>
    <col min="4" max="17" width="3.28515625" customWidth="1"/>
    <col min="18" max="18" width="2.85546875" customWidth="1"/>
    <col min="19" max="19" width="2.28515625" customWidth="1"/>
    <col min="20" max="20" width="10.140625" customWidth="1"/>
    <col min="21" max="21" width="1.85546875" customWidth="1"/>
    <col min="22" max="35" width="3.28515625" customWidth="1"/>
    <col min="36" max="36" width="2.85546875" customWidth="1"/>
    <col min="37" max="37" width="2.28515625" customWidth="1"/>
    <col min="38" max="38" width="10.140625" customWidth="1"/>
    <col min="39" max="39" width="1.85546875" customWidth="1"/>
    <col min="40" max="53" width="3.28515625" customWidth="1"/>
    <col min="54" max="1025" width="9.140625" customWidth="1"/>
  </cols>
  <sheetData>
    <row r="1" spans="1:53" x14ac:dyDescent="0.25">
      <c r="A1" s="9"/>
      <c r="B1" s="9"/>
      <c r="S1" s="9"/>
      <c r="T1" s="9"/>
    </row>
    <row r="2" spans="1:53" x14ac:dyDescent="0.25">
      <c r="C2" s="20" t="s">
        <v>68</v>
      </c>
      <c r="D2" s="9"/>
      <c r="E2" s="9" t="s">
        <v>50</v>
      </c>
      <c r="F2" s="9" t="s">
        <v>51</v>
      </c>
      <c r="G2" s="9" t="s">
        <v>52</v>
      </c>
      <c r="H2" s="9" t="s">
        <v>53</v>
      </c>
      <c r="I2" s="9" t="s">
        <v>54</v>
      </c>
      <c r="J2" s="9" t="s">
        <v>55</v>
      </c>
      <c r="K2" s="9" t="s">
        <v>56</v>
      </c>
      <c r="L2" s="9" t="s">
        <v>57</v>
      </c>
      <c r="M2" s="9" t="s">
        <v>58</v>
      </c>
      <c r="N2" s="9" t="s">
        <v>59</v>
      </c>
      <c r="O2" s="9" t="s">
        <v>60</v>
      </c>
      <c r="P2" s="9" t="s">
        <v>61</v>
      </c>
      <c r="Q2" s="9" t="s">
        <v>62</v>
      </c>
      <c r="R2" s="20" t="s">
        <v>69</v>
      </c>
      <c r="U2" s="20" t="s">
        <v>68</v>
      </c>
      <c r="V2" s="9"/>
      <c r="W2" s="9" t="s">
        <v>50</v>
      </c>
      <c r="X2" s="9" t="s">
        <v>51</v>
      </c>
      <c r="Y2" s="9" t="s">
        <v>52</v>
      </c>
      <c r="Z2" s="9" t="s">
        <v>53</v>
      </c>
      <c r="AA2" s="9" t="s">
        <v>54</v>
      </c>
      <c r="AB2" s="9" t="s">
        <v>55</v>
      </c>
      <c r="AC2" s="9" t="s">
        <v>56</v>
      </c>
      <c r="AD2" s="9" t="s">
        <v>57</v>
      </c>
      <c r="AE2" s="9" t="s">
        <v>58</v>
      </c>
      <c r="AF2" s="9" t="s">
        <v>59</v>
      </c>
      <c r="AG2" s="9" t="s">
        <v>60</v>
      </c>
      <c r="AH2" s="9" t="s">
        <v>61</v>
      </c>
      <c r="AI2" s="9" t="s">
        <v>62</v>
      </c>
      <c r="AJ2" s="20" t="s">
        <v>69</v>
      </c>
      <c r="AM2" s="20" t="s">
        <v>68</v>
      </c>
      <c r="AN2" s="9"/>
      <c r="AO2" s="9" t="s">
        <v>50</v>
      </c>
      <c r="AP2" s="9" t="s">
        <v>51</v>
      </c>
      <c r="AQ2" s="9" t="s">
        <v>52</v>
      </c>
      <c r="AR2" s="9" t="s">
        <v>53</v>
      </c>
      <c r="AS2" s="9" t="s">
        <v>54</v>
      </c>
      <c r="AT2" s="9" t="s">
        <v>55</v>
      </c>
      <c r="AU2" s="9" t="s">
        <v>56</v>
      </c>
      <c r="AV2" s="9" t="s">
        <v>57</v>
      </c>
      <c r="AW2" s="9" t="s">
        <v>58</v>
      </c>
      <c r="AX2" s="9" t="s">
        <v>59</v>
      </c>
      <c r="AY2" s="9" t="s">
        <v>60</v>
      </c>
      <c r="AZ2" s="9" t="s">
        <v>61</v>
      </c>
      <c r="BA2" s="9" t="s">
        <v>62</v>
      </c>
    </row>
    <row r="3" spans="1:53" ht="15.75" x14ac:dyDescent="0.3">
      <c r="A3" s="2">
        <f t="shared" ref="A3:A16" si="0">LEN(B3)</f>
        <v>9</v>
      </c>
      <c r="B3" s="5" t="s">
        <v>2</v>
      </c>
      <c r="D3" s="9" t="s">
        <v>51</v>
      </c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S3" s="2">
        <f t="shared" ref="S3:S16" si="1">LEN(T3)</f>
        <v>9</v>
      </c>
      <c r="T3" s="12" t="s">
        <v>2</v>
      </c>
      <c r="V3" s="9" t="s">
        <v>51</v>
      </c>
      <c r="W3" s="9" t="s">
        <v>64</v>
      </c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K3" s="2">
        <f t="shared" ref="AK3:AK16" si="2">LEN(AL3)</f>
        <v>9</v>
      </c>
      <c r="AL3" s="12" t="s">
        <v>2</v>
      </c>
      <c r="AN3" s="9" t="s">
        <v>51</v>
      </c>
      <c r="AO3" s="9" t="s">
        <v>64</v>
      </c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</row>
    <row r="4" spans="1:53" ht="15.75" x14ac:dyDescent="0.3">
      <c r="A4" s="2">
        <f t="shared" si="0"/>
        <v>9</v>
      </c>
      <c r="B4" s="5" t="s">
        <v>1</v>
      </c>
      <c r="D4" s="9" t="s">
        <v>52</v>
      </c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S4" s="2">
        <f t="shared" si="1"/>
        <v>9</v>
      </c>
      <c r="T4" s="5" t="s">
        <v>1</v>
      </c>
      <c r="V4" s="9" t="s">
        <v>52</v>
      </c>
      <c r="W4" s="9" t="s">
        <v>42</v>
      </c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K4" s="2">
        <f t="shared" si="2"/>
        <v>9</v>
      </c>
      <c r="AL4" s="12" t="s">
        <v>1</v>
      </c>
      <c r="AN4" s="9" t="s">
        <v>52</v>
      </c>
      <c r="AO4" s="9" t="s">
        <v>42</v>
      </c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</row>
    <row r="5" spans="1:53" x14ac:dyDescent="0.25">
      <c r="A5" s="2">
        <f t="shared" si="0"/>
        <v>9</v>
      </c>
      <c r="B5" s="5" t="s">
        <v>70</v>
      </c>
      <c r="D5" s="9" t="s">
        <v>53</v>
      </c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S5" s="2">
        <f t="shared" si="1"/>
        <v>9</v>
      </c>
      <c r="T5" s="5" t="s">
        <v>70</v>
      </c>
      <c r="V5" s="9" t="s">
        <v>53</v>
      </c>
      <c r="W5" s="9" t="s">
        <v>47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K5" s="2">
        <f t="shared" si="2"/>
        <v>9</v>
      </c>
      <c r="AL5" s="5" t="s">
        <v>70</v>
      </c>
      <c r="AN5" s="9" t="s">
        <v>53</v>
      </c>
      <c r="AO5" s="9" t="s">
        <v>47</v>
      </c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</row>
    <row r="6" spans="1:53" x14ac:dyDescent="0.25">
      <c r="A6" s="2">
        <f t="shared" si="0"/>
        <v>7</v>
      </c>
      <c r="B6" s="5" t="s">
        <v>5</v>
      </c>
      <c r="D6" s="9" t="s">
        <v>54</v>
      </c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S6" s="2">
        <f t="shared" si="1"/>
        <v>7</v>
      </c>
      <c r="T6" s="5" t="s">
        <v>5</v>
      </c>
      <c r="V6" s="9" t="s">
        <v>54</v>
      </c>
      <c r="W6" s="9" t="s">
        <v>65</v>
      </c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K6" s="2">
        <f t="shared" si="2"/>
        <v>7</v>
      </c>
      <c r="AL6" s="5" t="s">
        <v>5</v>
      </c>
      <c r="AN6" s="9" t="s">
        <v>54</v>
      </c>
      <c r="AO6" s="9" t="s">
        <v>65</v>
      </c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</row>
    <row r="7" spans="1:53" x14ac:dyDescent="0.25">
      <c r="A7" s="2">
        <f t="shared" si="0"/>
        <v>7</v>
      </c>
      <c r="B7" s="5" t="s">
        <v>4</v>
      </c>
      <c r="D7" s="9" t="s">
        <v>55</v>
      </c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S7" s="2">
        <f t="shared" si="1"/>
        <v>7</v>
      </c>
      <c r="T7" s="5" t="s">
        <v>4</v>
      </c>
      <c r="V7" s="9" t="s">
        <v>55</v>
      </c>
      <c r="W7" s="9" t="s">
        <v>63</v>
      </c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K7" s="2">
        <f t="shared" si="2"/>
        <v>7</v>
      </c>
      <c r="AL7" s="5" t="s">
        <v>4</v>
      </c>
      <c r="AN7" s="9" t="s">
        <v>55</v>
      </c>
      <c r="AO7" s="9" t="s">
        <v>63</v>
      </c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</row>
    <row r="8" spans="1:53" ht="15.75" x14ac:dyDescent="0.3">
      <c r="A8" s="2">
        <f t="shared" si="0"/>
        <v>7</v>
      </c>
      <c r="B8" s="12" t="s">
        <v>7</v>
      </c>
      <c r="D8" s="9" t="s">
        <v>56</v>
      </c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S8" s="2">
        <f t="shared" si="1"/>
        <v>7</v>
      </c>
      <c r="T8" s="12" t="s">
        <v>7</v>
      </c>
      <c r="V8" s="9" t="s">
        <v>56</v>
      </c>
      <c r="W8" s="9" t="s">
        <v>44</v>
      </c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K8" s="2">
        <f t="shared" si="2"/>
        <v>7</v>
      </c>
      <c r="AL8" s="12" t="s">
        <v>7</v>
      </c>
      <c r="AN8" s="9" t="s">
        <v>56</v>
      </c>
      <c r="AO8" s="9" t="s">
        <v>44</v>
      </c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</row>
    <row r="9" spans="1:53" x14ac:dyDescent="0.25">
      <c r="A9" s="2">
        <f t="shared" si="0"/>
        <v>7</v>
      </c>
      <c r="B9" s="5" t="s">
        <v>3</v>
      </c>
      <c r="D9" s="9" t="s">
        <v>57</v>
      </c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S9" s="2">
        <f t="shared" si="1"/>
        <v>7</v>
      </c>
      <c r="T9" s="5" t="s">
        <v>3</v>
      </c>
      <c r="V9" s="9" t="s">
        <v>57</v>
      </c>
      <c r="W9" s="9" t="s">
        <v>45</v>
      </c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K9" s="2">
        <f t="shared" si="2"/>
        <v>7</v>
      </c>
      <c r="AL9" s="5" t="s">
        <v>3</v>
      </c>
      <c r="AN9" s="9" t="s">
        <v>57</v>
      </c>
      <c r="AO9" s="9" t="s">
        <v>45</v>
      </c>
      <c r="AP9" s="9" t="s">
        <v>47</v>
      </c>
      <c r="AQ9" s="9" t="s">
        <v>44</v>
      </c>
      <c r="AR9" s="9" t="s">
        <v>42</v>
      </c>
      <c r="AS9" s="9" t="s">
        <v>49</v>
      </c>
      <c r="AT9" s="9" t="s">
        <v>63</v>
      </c>
      <c r="AU9" s="9" t="s">
        <v>46</v>
      </c>
      <c r="AV9" s="9" t="s">
        <v>64</v>
      </c>
      <c r="AW9" s="9" t="s">
        <v>63</v>
      </c>
      <c r="AX9" s="9"/>
      <c r="AY9" s="9"/>
      <c r="AZ9" s="9"/>
      <c r="BA9" s="9"/>
    </row>
    <row r="10" spans="1:53" ht="15.75" x14ac:dyDescent="0.3">
      <c r="A10" s="2">
        <f t="shared" si="0"/>
        <v>5</v>
      </c>
      <c r="B10" s="12" t="s">
        <v>8</v>
      </c>
      <c r="D10" s="9" t="s">
        <v>58</v>
      </c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S10" s="2">
        <f t="shared" si="1"/>
        <v>5</v>
      </c>
      <c r="T10" s="12" t="s">
        <v>8</v>
      </c>
      <c r="V10" s="9" t="s">
        <v>58</v>
      </c>
      <c r="W10" s="9" t="s">
        <v>65</v>
      </c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K10" s="2">
        <f t="shared" si="2"/>
        <v>5</v>
      </c>
      <c r="AL10" s="12" t="s">
        <v>8</v>
      </c>
      <c r="AN10" s="9" t="s">
        <v>58</v>
      </c>
      <c r="AO10" s="9" t="s">
        <v>65</v>
      </c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</row>
    <row r="11" spans="1:53" x14ac:dyDescent="0.25">
      <c r="A11" s="2">
        <f t="shared" si="0"/>
        <v>5</v>
      </c>
      <c r="B11" s="5" t="s">
        <v>6</v>
      </c>
      <c r="D11" s="9" t="s">
        <v>59</v>
      </c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S11" s="2">
        <f t="shared" si="1"/>
        <v>5</v>
      </c>
      <c r="T11" s="5" t="s">
        <v>6</v>
      </c>
      <c r="V11" s="9" t="s">
        <v>59</v>
      </c>
      <c r="W11" s="9" t="s">
        <v>48</v>
      </c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K11" s="2">
        <f t="shared" si="2"/>
        <v>5</v>
      </c>
      <c r="AL11" s="5" t="s">
        <v>6</v>
      </c>
      <c r="AN11" s="9" t="s">
        <v>59</v>
      </c>
      <c r="AO11" s="9" t="s">
        <v>48</v>
      </c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</row>
    <row r="12" spans="1:53" x14ac:dyDescent="0.25">
      <c r="A12" s="2">
        <f t="shared" si="0"/>
        <v>3</v>
      </c>
      <c r="B12" s="5" t="s">
        <v>10</v>
      </c>
      <c r="D12" s="9" t="s">
        <v>60</v>
      </c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S12" s="2">
        <f t="shared" si="1"/>
        <v>3</v>
      </c>
      <c r="T12" s="5" t="s">
        <v>10</v>
      </c>
      <c r="V12" s="9" t="s">
        <v>60</v>
      </c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K12" s="2">
        <f t="shared" si="2"/>
        <v>3</v>
      </c>
      <c r="AL12" s="5" t="s">
        <v>10</v>
      </c>
      <c r="AN12" s="9" t="s">
        <v>60</v>
      </c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</row>
    <row r="13" spans="1:53" x14ac:dyDescent="0.25">
      <c r="A13" s="2">
        <f t="shared" si="0"/>
        <v>3</v>
      </c>
      <c r="B13" s="5" t="s">
        <v>12</v>
      </c>
      <c r="D13" s="9" t="s">
        <v>61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S13" s="2">
        <f t="shared" si="1"/>
        <v>3</v>
      </c>
      <c r="T13" s="5" t="s">
        <v>12</v>
      </c>
      <c r="V13" s="9" t="s">
        <v>61</v>
      </c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K13" s="2">
        <f t="shared" si="2"/>
        <v>3</v>
      </c>
      <c r="AL13" s="5" t="s">
        <v>12</v>
      </c>
      <c r="AN13" s="9" t="s">
        <v>61</v>
      </c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</row>
    <row r="14" spans="1:53" x14ac:dyDescent="0.25">
      <c r="A14" s="2">
        <f t="shared" si="0"/>
        <v>3</v>
      </c>
      <c r="B14" s="5" t="s">
        <v>11</v>
      </c>
      <c r="D14" s="9" t="s">
        <v>62</v>
      </c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S14" s="2">
        <f t="shared" si="1"/>
        <v>3</v>
      </c>
      <c r="T14" s="5" t="s">
        <v>11</v>
      </c>
      <c r="V14" s="9" t="s">
        <v>62</v>
      </c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K14" s="2">
        <f t="shared" si="2"/>
        <v>3</v>
      </c>
      <c r="AL14" s="5" t="s">
        <v>11</v>
      </c>
      <c r="AN14" s="9" t="s">
        <v>62</v>
      </c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</row>
    <row r="15" spans="1:53" x14ac:dyDescent="0.25">
      <c r="A15" s="2">
        <f t="shared" si="0"/>
        <v>3</v>
      </c>
      <c r="B15" s="5" t="s">
        <v>13</v>
      </c>
      <c r="S15" s="2">
        <f t="shared" si="1"/>
        <v>3</v>
      </c>
      <c r="T15" s="5" t="s">
        <v>13</v>
      </c>
      <c r="AK15" s="2">
        <f t="shared" si="2"/>
        <v>3</v>
      </c>
      <c r="AL15" s="5" t="s">
        <v>13</v>
      </c>
    </row>
    <row r="16" spans="1:53" x14ac:dyDescent="0.25">
      <c r="A16" s="2">
        <f t="shared" si="0"/>
        <v>3</v>
      </c>
      <c r="B16" s="5" t="s">
        <v>9</v>
      </c>
      <c r="S16" s="2">
        <f t="shared" si="1"/>
        <v>3</v>
      </c>
      <c r="T16" s="5" t="s">
        <v>9</v>
      </c>
      <c r="AK16" s="2">
        <f t="shared" si="2"/>
        <v>3</v>
      </c>
      <c r="AL16" s="5" t="s">
        <v>9</v>
      </c>
    </row>
    <row r="18" spans="1:53" x14ac:dyDescent="0.25">
      <c r="C18" s="20" t="s">
        <v>68</v>
      </c>
      <c r="D18" s="9"/>
      <c r="E18" s="9" t="s">
        <v>50</v>
      </c>
      <c r="F18" s="9" t="s">
        <v>51</v>
      </c>
      <c r="G18" s="9" t="s">
        <v>52</v>
      </c>
      <c r="H18" s="9" t="s">
        <v>53</v>
      </c>
      <c r="I18" s="9" t="s">
        <v>54</v>
      </c>
      <c r="J18" s="9" t="s">
        <v>55</v>
      </c>
      <c r="K18" s="9" t="s">
        <v>56</v>
      </c>
      <c r="L18" s="9" t="s">
        <v>57</v>
      </c>
      <c r="M18" s="9" t="s">
        <v>58</v>
      </c>
      <c r="N18" s="9" t="s">
        <v>59</v>
      </c>
      <c r="O18" s="9" t="s">
        <v>60</v>
      </c>
      <c r="P18" s="9" t="s">
        <v>61</v>
      </c>
      <c r="Q18" s="9" t="s">
        <v>62</v>
      </c>
      <c r="R18" s="20" t="s">
        <v>69</v>
      </c>
      <c r="U18" s="20" t="s">
        <v>68</v>
      </c>
      <c r="V18" s="9"/>
      <c r="W18" s="9" t="s">
        <v>50</v>
      </c>
      <c r="X18" s="9" t="s">
        <v>51</v>
      </c>
      <c r="Y18" s="9" t="s">
        <v>52</v>
      </c>
      <c r="Z18" s="9" t="s">
        <v>53</v>
      </c>
      <c r="AA18" s="9" t="s">
        <v>54</v>
      </c>
      <c r="AB18" s="9" t="s">
        <v>55</v>
      </c>
      <c r="AC18" s="9" t="s">
        <v>56</v>
      </c>
      <c r="AD18" s="9" t="s">
        <v>57</v>
      </c>
      <c r="AE18" s="9" t="s">
        <v>58</v>
      </c>
      <c r="AF18" s="9" t="s">
        <v>59</v>
      </c>
      <c r="AG18" s="9" t="s">
        <v>60</v>
      </c>
      <c r="AH18" s="9" t="s">
        <v>61</v>
      </c>
      <c r="AI18" s="9" t="s">
        <v>62</v>
      </c>
      <c r="AJ18" s="20" t="s">
        <v>69</v>
      </c>
      <c r="AM18" s="20" t="s">
        <v>68</v>
      </c>
      <c r="AN18" s="9"/>
      <c r="AO18" s="9" t="s">
        <v>50</v>
      </c>
      <c r="AP18" s="9" t="s">
        <v>51</v>
      </c>
      <c r="AQ18" s="9" t="s">
        <v>52</v>
      </c>
      <c r="AR18" s="9" t="s">
        <v>53</v>
      </c>
      <c r="AS18" s="9" t="s">
        <v>54</v>
      </c>
      <c r="AT18" s="9" t="s">
        <v>55</v>
      </c>
      <c r="AU18" s="9" t="s">
        <v>56</v>
      </c>
      <c r="AV18" s="9" t="s">
        <v>57</v>
      </c>
      <c r="AW18" s="9" t="s">
        <v>58</v>
      </c>
      <c r="AX18" s="9" t="s">
        <v>59</v>
      </c>
      <c r="AY18" s="9" t="s">
        <v>60</v>
      </c>
      <c r="AZ18" s="9" t="s">
        <v>61</v>
      </c>
      <c r="BA18" s="9" t="s">
        <v>62</v>
      </c>
    </row>
    <row r="19" spans="1:53" ht="15.75" x14ac:dyDescent="0.3">
      <c r="A19" s="2">
        <f t="shared" ref="A19:A32" si="3">LEN(B19)</f>
        <v>9</v>
      </c>
      <c r="B19" s="12" t="s">
        <v>2</v>
      </c>
      <c r="D19" s="9" t="s">
        <v>51</v>
      </c>
      <c r="E19" s="9" t="s">
        <v>64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S19" s="2">
        <f t="shared" ref="S19:S32" si="4">LEN(T19)</f>
        <v>9</v>
      </c>
      <c r="T19" s="12" t="s">
        <v>2</v>
      </c>
      <c r="V19" s="9" t="s">
        <v>51</v>
      </c>
      <c r="W19" s="9" t="s">
        <v>64</v>
      </c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K19" s="2">
        <f t="shared" ref="AK19:AK32" si="5">LEN(AL19)</f>
        <v>9</v>
      </c>
      <c r="AL19" s="12" t="s">
        <v>2</v>
      </c>
      <c r="AN19" s="9" t="s">
        <v>51</v>
      </c>
      <c r="AO19" s="9" t="s">
        <v>64</v>
      </c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</row>
    <row r="20" spans="1:53" ht="15.75" x14ac:dyDescent="0.3">
      <c r="A20" s="2">
        <f t="shared" si="3"/>
        <v>9</v>
      </c>
      <c r="B20" s="12" t="s">
        <v>1</v>
      </c>
      <c r="D20" s="9" t="s">
        <v>52</v>
      </c>
      <c r="E20" s="9" t="s">
        <v>42</v>
      </c>
      <c r="F20" s="9" t="s">
        <v>43</v>
      </c>
      <c r="G20" s="9" t="s">
        <v>44</v>
      </c>
      <c r="H20" s="9" t="s">
        <v>45</v>
      </c>
      <c r="I20" s="9" t="s">
        <v>46</v>
      </c>
      <c r="J20" s="9" t="s">
        <v>45</v>
      </c>
      <c r="K20" s="9" t="s">
        <v>47</v>
      </c>
      <c r="L20" s="9" t="s">
        <v>47</v>
      </c>
      <c r="M20" s="9" t="s">
        <v>45</v>
      </c>
      <c r="N20" s="9"/>
      <c r="O20" s="9"/>
      <c r="P20" s="9"/>
      <c r="Q20" s="9"/>
      <c r="S20" s="2">
        <f t="shared" si="4"/>
        <v>9</v>
      </c>
      <c r="T20" s="12" t="s">
        <v>1</v>
      </c>
      <c r="V20" s="9" t="s">
        <v>52</v>
      </c>
      <c r="W20" s="9" t="s">
        <v>42</v>
      </c>
      <c r="X20" s="9" t="s">
        <v>43</v>
      </c>
      <c r="Y20" s="9" t="s">
        <v>44</v>
      </c>
      <c r="Z20" s="9" t="s">
        <v>45</v>
      </c>
      <c r="AA20" s="9" t="s">
        <v>46</v>
      </c>
      <c r="AB20" s="9" t="s">
        <v>45</v>
      </c>
      <c r="AC20" s="9" t="s">
        <v>47</v>
      </c>
      <c r="AD20" s="9" t="s">
        <v>47</v>
      </c>
      <c r="AE20" s="9" t="s">
        <v>45</v>
      </c>
      <c r="AF20" s="9"/>
      <c r="AG20" s="9"/>
      <c r="AH20" s="9"/>
      <c r="AI20" s="9"/>
      <c r="AK20" s="2">
        <f t="shared" si="5"/>
        <v>9</v>
      </c>
      <c r="AL20" s="12" t="s">
        <v>1</v>
      </c>
      <c r="AN20" s="9" t="s">
        <v>52</v>
      </c>
      <c r="AO20" s="9" t="s">
        <v>42</v>
      </c>
      <c r="AP20" s="9" t="s">
        <v>43</v>
      </c>
      <c r="AQ20" s="9" t="s">
        <v>44</v>
      </c>
      <c r="AR20" s="9" t="s">
        <v>45</v>
      </c>
      <c r="AS20" s="9" t="s">
        <v>46</v>
      </c>
      <c r="AT20" s="9" t="s">
        <v>45</v>
      </c>
      <c r="AU20" s="9" t="s">
        <v>47</v>
      </c>
      <c r="AV20" s="9" t="s">
        <v>47</v>
      </c>
      <c r="AW20" s="9" t="s">
        <v>45</v>
      </c>
      <c r="AX20" s="9"/>
      <c r="AY20" s="9"/>
      <c r="AZ20" s="9"/>
      <c r="BA20" s="9"/>
    </row>
    <row r="21" spans="1:53" ht="15.75" x14ac:dyDescent="0.3">
      <c r="A21" s="2">
        <f t="shared" si="3"/>
        <v>9</v>
      </c>
      <c r="B21" s="12" t="s">
        <v>70</v>
      </c>
      <c r="D21" s="9" t="s">
        <v>53</v>
      </c>
      <c r="E21" s="9" t="s">
        <v>47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S21" s="2">
        <f t="shared" si="4"/>
        <v>9</v>
      </c>
      <c r="T21" s="12" t="s">
        <v>70</v>
      </c>
      <c r="V21" s="9" t="s">
        <v>53</v>
      </c>
      <c r="W21" s="9" t="s">
        <v>47</v>
      </c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K21" s="2">
        <f t="shared" si="5"/>
        <v>9</v>
      </c>
      <c r="AL21" s="12" t="s">
        <v>70</v>
      </c>
      <c r="AN21" s="9" t="s">
        <v>53</v>
      </c>
      <c r="AO21" s="9" t="s">
        <v>47</v>
      </c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</row>
    <row r="22" spans="1:53" ht="15.75" x14ac:dyDescent="0.3">
      <c r="A22" s="2">
        <f t="shared" si="3"/>
        <v>7</v>
      </c>
      <c r="B22" s="5" t="s">
        <v>5</v>
      </c>
      <c r="D22" s="9" t="s">
        <v>54</v>
      </c>
      <c r="E22" s="9" t="s">
        <v>65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S22" s="2">
        <f t="shared" si="4"/>
        <v>7</v>
      </c>
      <c r="T22" s="12" t="s">
        <v>5</v>
      </c>
      <c r="V22" s="9" t="s">
        <v>54</v>
      </c>
      <c r="W22" s="9" t="s">
        <v>65</v>
      </c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K22" s="2">
        <f t="shared" si="5"/>
        <v>7</v>
      </c>
      <c r="AL22" s="12" t="s">
        <v>5</v>
      </c>
      <c r="AN22" s="9" t="s">
        <v>54</v>
      </c>
      <c r="AO22" s="9" t="s">
        <v>65</v>
      </c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</row>
    <row r="23" spans="1:53" x14ac:dyDescent="0.25">
      <c r="A23" s="2">
        <f t="shared" si="3"/>
        <v>7</v>
      </c>
      <c r="B23" s="5" t="s">
        <v>4</v>
      </c>
      <c r="D23" s="9" t="s">
        <v>55</v>
      </c>
      <c r="E23" s="9" t="s">
        <v>63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S23" s="2">
        <f t="shared" si="4"/>
        <v>7</v>
      </c>
      <c r="T23" s="5" t="s">
        <v>4</v>
      </c>
      <c r="V23" s="9" t="s">
        <v>55</v>
      </c>
      <c r="W23" s="9" t="s">
        <v>63</v>
      </c>
      <c r="X23" s="9"/>
      <c r="Y23" s="9"/>
      <c r="Z23" s="9"/>
      <c r="AA23" s="9" t="s">
        <v>66</v>
      </c>
      <c r="AB23" s="9"/>
      <c r="AC23" s="9"/>
      <c r="AD23" s="9"/>
      <c r="AE23" s="9"/>
      <c r="AF23" s="9"/>
      <c r="AG23" s="9"/>
      <c r="AH23" s="9"/>
      <c r="AI23" s="9"/>
      <c r="AK23" s="2">
        <f t="shared" si="5"/>
        <v>7</v>
      </c>
      <c r="AL23" s="5" t="s">
        <v>4</v>
      </c>
      <c r="AN23" s="9" t="s">
        <v>55</v>
      </c>
      <c r="AO23" s="9" t="s">
        <v>63</v>
      </c>
      <c r="AP23" s="9"/>
      <c r="AQ23" s="9"/>
      <c r="AR23" s="9"/>
      <c r="AS23" s="9" t="s">
        <v>66</v>
      </c>
      <c r="AT23" s="9"/>
      <c r="AU23" s="9"/>
      <c r="AV23" s="9"/>
      <c r="AW23" s="9"/>
      <c r="AX23" s="9"/>
      <c r="AY23" s="9"/>
      <c r="AZ23" s="9"/>
      <c r="BA23" s="9"/>
    </row>
    <row r="24" spans="1:53" ht="15.75" x14ac:dyDescent="0.3">
      <c r="A24" s="2">
        <f t="shared" si="3"/>
        <v>7</v>
      </c>
      <c r="B24" s="12" t="s">
        <v>7</v>
      </c>
      <c r="D24" s="9" t="s">
        <v>56</v>
      </c>
      <c r="E24" s="9" t="s">
        <v>44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S24" s="2">
        <f t="shared" si="4"/>
        <v>7</v>
      </c>
      <c r="T24" s="12" t="s">
        <v>7</v>
      </c>
      <c r="V24" s="9" t="s">
        <v>56</v>
      </c>
      <c r="W24" s="9" t="s">
        <v>44</v>
      </c>
      <c r="X24" s="9"/>
      <c r="Y24" s="9"/>
      <c r="Z24" s="9"/>
      <c r="AA24" s="9" t="s">
        <v>48</v>
      </c>
      <c r="AB24" s="9"/>
      <c r="AC24" s="9"/>
      <c r="AD24" s="9"/>
      <c r="AE24" s="9"/>
      <c r="AF24" s="9"/>
      <c r="AG24" s="9"/>
      <c r="AH24" s="9"/>
      <c r="AI24" s="9"/>
      <c r="AK24" s="2">
        <f t="shared" si="5"/>
        <v>7</v>
      </c>
      <c r="AL24" s="12" t="s">
        <v>7</v>
      </c>
      <c r="AN24" s="9" t="s">
        <v>56</v>
      </c>
      <c r="AO24" s="9" t="s">
        <v>44</v>
      </c>
      <c r="AP24" s="9"/>
      <c r="AQ24" s="9"/>
      <c r="AR24" s="9"/>
      <c r="AS24" s="9" t="s">
        <v>48</v>
      </c>
      <c r="AT24" s="9"/>
      <c r="AU24" s="9"/>
      <c r="AV24" s="9"/>
      <c r="AW24" s="9"/>
      <c r="AX24" s="9"/>
      <c r="AY24" s="9"/>
      <c r="AZ24" s="9"/>
      <c r="BA24" s="9"/>
    </row>
    <row r="25" spans="1:53" x14ac:dyDescent="0.25">
      <c r="A25" s="2">
        <f t="shared" si="3"/>
        <v>7</v>
      </c>
      <c r="B25" s="5" t="s">
        <v>3</v>
      </c>
      <c r="D25" s="9" t="s">
        <v>57</v>
      </c>
      <c r="E25" s="9" t="s">
        <v>45</v>
      </c>
      <c r="F25" s="9" t="s">
        <v>47</v>
      </c>
      <c r="G25" s="9" t="s">
        <v>44</v>
      </c>
      <c r="H25" s="9" t="s">
        <v>42</v>
      </c>
      <c r="I25" s="9" t="s">
        <v>49</v>
      </c>
      <c r="J25" s="9" t="s">
        <v>63</v>
      </c>
      <c r="K25" s="9" t="s">
        <v>46</v>
      </c>
      <c r="L25" s="9" t="s">
        <v>64</v>
      </c>
      <c r="M25" s="9" t="s">
        <v>63</v>
      </c>
      <c r="N25" s="9"/>
      <c r="O25" s="9"/>
      <c r="P25" s="9"/>
      <c r="Q25" s="9"/>
      <c r="S25" s="2">
        <f t="shared" si="4"/>
        <v>7</v>
      </c>
      <c r="T25" s="5" t="s">
        <v>3</v>
      </c>
      <c r="V25" s="9" t="s">
        <v>57</v>
      </c>
      <c r="W25" s="9" t="s">
        <v>45</v>
      </c>
      <c r="X25" s="9" t="s">
        <v>47</v>
      </c>
      <c r="Y25" s="9" t="s">
        <v>44</v>
      </c>
      <c r="Z25" s="9" t="s">
        <v>42</v>
      </c>
      <c r="AA25" s="9" t="s">
        <v>49</v>
      </c>
      <c r="AB25" s="9" t="s">
        <v>63</v>
      </c>
      <c r="AC25" s="9" t="s">
        <v>46</v>
      </c>
      <c r="AD25" s="9" t="s">
        <v>64</v>
      </c>
      <c r="AE25" s="9" t="s">
        <v>63</v>
      </c>
      <c r="AF25" s="9"/>
      <c r="AG25" s="9"/>
      <c r="AH25" s="9"/>
      <c r="AI25" s="9"/>
      <c r="AK25" s="2">
        <f t="shared" si="5"/>
        <v>7</v>
      </c>
      <c r="AL25" s="5" t="s">
        <v>3</v>
      </c>
      <c r="AN25" s="9" t="s">
        <v>57</v>
      </c>
      <c r="AO25" s="9" t="s">
        <v>45</v>
      </c>
      <c r="AP25" s="9" t="s">
        <v>47</v>
      </c>
      <c r="AQ25" s="9" t="s">
        <v>44</v>
      </c>
      <c r="AR25" s="9" t="s">
        <v>42</v>
      </c>
      <c r="AS25" s="9" t="s">
        <v>49</v>
      </c>
      <c r="AT25" s="9" t="s">
        <v>63</v>
      </c>
      <c r="AU25" s="9" t="s">
        <v>46</v>
      </c>
      <c r="AV25" s="9" t="s">
        <v>64</v>
      </c>
      <c r="AW25" s="9" t="s">
        <v>63</v>
      </c>
      <c r="AX25" s="9"/>
      <c r="AY25" s="9"/>
      <c r="AZ25" s="9"/>
      <c r="BA25" s="9"/>
    </row>
    <row r="26" spans="1:53" ht="15.75" x14ac:dyDescent="0.3">
      <c r="A26" s="2">
        <f t="shared" si="3"/>
        <v>5</v>
      </c>
      <c r="B26" s="12" t="s">
        <v>8</v>
      </c>
      <c r="D26" s="9" t="s">
        <v>58</v>
      </c>
      <c r="E26" s="9" t="s">
        <v>65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S26" s="2">
        <f t="shared" si="4"/>
        <v>5</v>
      </c>
      <c r="T26" s="12" t="s">
        <v>8</v>
      </c>
      <c r="V26" s="9" t="s">
        <v>58</v>
      </c>
      <c r="W26" s="9" t="s">
        <v>65</v>
      </c>
      <c r="X26" s="9"/>
      <c r="Y26" s="9"/>
      <c r="Z26" s="9"/>
      <c r="AA26" s="9" t="s">
        <v>42</v>
      </c>
      <c r="AB26" s="9"/>
      <c r="AC26" s="9"/>
      <c r="AD26" s="9"/>
      <c r="AE26" s="9"/>
      <c r="AF26" s="9"/>
      <c r="AG26" s="9"/>
      <c r="AH26" s="9"/>
      <c r="AI26" s="9"/>
      <c r="AK26" s="2">
        <f t="shared" si="5"/>
        <v>5</v>
      </c>
      <c r="AL26" s="12" t="s">
        <v>8</v>
      </c>
      <c r="AN26" s="9" t="s">
        <v>58</v>
      </c>
      <c r="AO26" s="9" t="s">
        <v>65</v>
      </c>
      <c r="AP26" s="9"/>
      <c r="AQ26" s="9"/>
      <c r="AR26" s="9"/>
      <c r="AS26" s="9" t="s">
        <v>42</v>
      </c>
      <c r="AT26" s="9"/>
      <c r="AU26" s="9"/>
      <c r="AV26" s="9"/>
      <c r="AW26" s="9"/>
      <c r="AX26" s="9"/>
      <c r="AY26" s="9"/>
      <c r="AZ26" s="9"/>
      <c r="BA26" s="9"/>
    </row>
    <row r="27" spans="1:53" x14ac:dyDescent="0.25">
      <c r="A27" s="2">
        <f t="shared" si="3"/>
        <v>5</v>
      </c>
      <c r="B27" s="5" t="s">
        <v>6</v>
      </c>
      <c r="D27" s="9" t="s">
        <v>59</v>
      </c>
      <c r="E27" s="9" t="s">
        <v>48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S27" s="2">
        <f t="shared" si="4"/>
        <v>5</v>
      </c>
      <c r="T27" s="5" t="s">
        <v>6</v>
      </c>
      <c r="V27" s="9" t="s">
        <v>59</v>
      </c>
      <c r="W27" s="9" t="s">
        <v>48</v>
      </c>
      <c r="X27" s="9"/>
      <c r="Y27" s="9"/>
      <c r="Z27" s="9"/>
      <c r="AA27" s="9" t="s">
        <v>44</v>
      </c>
      <c r="AB27" s="9"/>
      <c r="AC27" s="9"/>
      <c r="AD27" s="9"/>
      <c r="AE27" s="9"/>
      <c r="AF27" s="9"/>
      <c r="AG27" s="9"/>
      <c r="AH27" s="9"/>
      <c r="AI27" s="9"/>
      <c r="AK27" s="2">
        <f t="shared" si="5"/>
        <v>5</v>
      </c>
      <c r="AL27" s="5" t="s">
        <v>6</v>
      </c>
      <c r="AN27" s="9" t="s">
        <v>59</v>
      </c>
      <c r="AO27" s="9" t="s">
        <v>48</v>
      </c>
      <c r="AP27" s="9"/>
      <c r="AQ27" s="9"/>
      <c r="AR27" s="9"/>
      <c r="AS27" s="9" t="s">
        <v>44</v>
      </c>
      <c r="AT27" s="9"/>
      <c r="AU27" s="9"/>
      <c r="AV27" s="9"/>
      <c r="AW27" s="9"/>
      <c r="AX27" s="9"/>
      <c r="AY27" s="9"/>
      <c r="AZ27" s="9"/>
      <c r="BA27" s="9"/>
    </row>
    <row r="28" spans="1:53" x14ac:dyDescent="0.25">
      <c r="A28" s="2">
        <f t="shared" si="3"/>
        <v>3</v>
      </c>
      <c r="B28" s="5" t="s">
        <v>10</v>
      </c>
      <c r="D28" s="9" t="s">
        <v>60</v>
      </c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S28" s="2">
        <f t="shared" si="4"/>
        <v>3</v>
      </c>
      <c r="T28" s="5" t="s">
        <v>10</v>
      </c>
      <c r="V28" s="9" t="s">
        <v>60</v>
      </c>
      <c r="W28" s="9"/>
      <c r="X28" s="9"/>
      <c r="Y28" s="9"/>
      <c r="Z28" s="9"/>
      <c r="AA28" s="9" t="s">
        <v>48</v>
      </c>
      <c r="AB28" s="9"/>
      <c r="AC28" s="9"/>
      <c r="AD28" s="9"/>
      <c r="AE28" s="9"/>
      <c r="AF28" s="9"/>
      <c r="AG28" s="9"/>
      <c r="AH28" s="9"/>
      <c r="AI28" s="9"/>
      <c r="AK28" s="2">
        <f t="shared" si="5"/>
        <v>3</v>
      </c>
      <c r="AL28" s="5" t="s">
        <v>10</v>
      </c>
      <c r="AN28" s="9" t="s">
        <v>60</v>
      </c>
      <c r="AO28" s="9"/>
      <c r="AP28" s="9"/>
      <c r="AQ28" s="9"/>
      <c r="AR28" s="9"/>
      <c r="AS28" s="9" t="s">
        <v>48</v>
      </c>
      <c r="AT28" s="9"/>
      <c r="AU28" s="9"/>
      <c r="AV28" s="9"/>
      <c r="AW28" s="9"/>
      <c r="AX28" s="9"/>
      <c r="AY28" s="9"/>
      <c r="AZ28" s="9"/>
      <c r="BA28" s="9"/>
    </row>
    <row r="29" spans="1:53" x14ac:dyDescent="0.25">
      <c r="A29" s="2">
        <f t="shared" si="3"/>
        <v>3</v>
      </c>
      <c r="B29" s="5" t="s">
        <v>12</v>
      </c>
      <c r="D29" s="9" t="s">
        <v>61</v>
      </c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S29" s="2">
        <f t="shared" si="4"/>
        <v>3</v>
      </c>
      <c r="T29" s="5" t="s">
        <v>12</v>
      </c>
      <c r="V29" s="9" t="s">
        <v>61</v>
      </c>
      <c r="W29" s="9"/>
      <c r="X29" s="9"/>
      <c r="Y29" s="9"/>
      <c r="Z29" s="9"/>
      <c r="AA29" s="9" t="s">
        <v>44</v>
      </c>
      <c r="AB29" s="9"/>
      <c r="AC29" s="9"/>
      <c r="AD29" s="9"/>
      <c r="AE29" s="9"/>
      <c r="AF29" s="9"/>
      <c r="AG29" s="9"/>
      <c r="AH29" s="9"/>
      <c r="AI29" s="9"/>
      <c r="AK29" s="2">
        <f t="shared" si="5"/>
        <v>3</v>
      </c>
      <c r="AL29" s="5" t="s">
        <v>12</v>
      </c>
      <c r="AN29" s="9" t="s">
        <v>61</v>
      </c>
      <c r="AO29" s="9"/>
      <c r="AP29" s="9"/>
      <c r="AQ29" s="9"/>
      <c r="AR29" s="9"/>
      <c r="AS29" s="9" t="s">
        <v>44</v>
      </c>
      <c r="AT29" s="9"/>
      <c r="AU29" s="9"/>
      <c r="AV29" s="9"/>
      <c r="AW29" s="9"/>
      <c r="AX29" s="9"/>
      <c r="AY29" s="9"/>
      <c r="AZ29" s="9"/>
      <c r="BA29" s="9"/>
    </row>
    <row r="30" spans="1:53" x14ac:dyDescent="0.25">
      <c r="A30" s="2">
        <f t="shared" si="3"/>
        <v>3</v>
      </c>
      <c r="B30" s="5" t="s">
        <v>11</v>
      </c>
      <c r="D30" s="9" t="s">
        <v>62</v>
      </c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S30" s="2">
        <f t="shared" si="4"/>
        <v>3</v>
      </c>
      <c r="T30" s="5" t="s">
        <v>11</v>
      </c>
      <c r="V30" s="9" t="s">
        <v>62</v>
      </c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K30" s="2">
        <f t="shared" si="5"/>
        <v>3</v>
      </c>
      <c r="AL30" s="5" t="s">
        <v>11</v>
      </c>
      <c r="AN30" s="9" t="s">
        <v>62</v>
      </c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</row>
    <row r="31" spans="1:53" x14ac:dyDescent="0.25">
      <c r="A31" s="2">
        <f t="shared" si="3"/>
        <v>3</v>
      </c>
      <c r="B31" s="5" t="s">
        <v>13</v>
      </c>
      <c r="S31" s="2">
        <f t="shared" si="4"/>
        <v>3</v>
      </c>
      <c r="T31" s="5" t="s">
        <v>13</v>
      </c>
      <c r="AK31" s="2">
        <f t="shared" si="5"/>
        <v>3</v>
      </c>
      <c r="AL31" s="5" t="s">
        <v>13</v>
      </c>
    </row>
    <row r="32" spans="1:53" x14ac:dyDescent="0.25">
      <c r="A32" s="2">
        <f t="shared" si="3"/>
        <v>3</v>
      </c>
      <c r="B32" s="5" t="s">
        <v>9</v>
      </c>
      <c r="S32" s="2">
        <f t="shared" si="4"/>
        <v>3</v>
      </c>
      <c r="T32" s="5" t="s">
        <v>9</v>
      </c>
      <c r="AK32" s="2">
        <f t="shared" si="5"/>
        <v>3</v>
      </c>
      <c r="AL32" s="5" t="s">
        <v>9</v>
      </c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Roman,Regular"&amp;12&amp;A</oddHeader>
    <oddFooter>&amp;C&amp;"Times New Roman,Regular"&amp;12Página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K16"/>
  <sheetViews>
    <sheetView showZeros="0" zoomScaleNormal="100" workbookViewId="0">
      <selection activeCell="O11" sqref="O11"/>
    </sheetView>
  </sheetViews>
  <sheetFormatPr defaultRowHeight="15" x14ac:dyDescent="0.25"/>
  <cols>
    <col min="1" max="14" width="3.28515625" style="2" customWidth="1"/>
    <col min="15" max="15" width="21.85546875" style="21" customWidth="1"/>
    <col min="16" max="29" width="3.28515625" style="9" customWidth="1"/>
    <col min="30" max="30" width="21.42578125" style="21" customWidth="1"/>
    <col min="31" max="1025" width="9.140625" style="2" customWidth="1"/>
  </cols>
  <sheetData>
    <row r="1" spans="1:30" ht="30" x14ac:dyDescent="0.25">
      <c r="O1" s="22" t="s">
        <v>71</v>
      </c>
      <c r="AD1" s="22" t="s">
        <v>72</v>
      </c>
    </row>
    <row r="2" spans="1:30" ht="135" x14ac:dyDescent="0.25">
      <c r="O2" s="23" t="s">
        <v>73</v>
      </c>
      <c r="AD2" s="23" t="s">
        <v>74</v>
      </c>
    </row>
    <row r="3" spans="1:30" x14ac:dyDescent="0.25">
      <c r="A3" s="9"/>
      <c r="B3" s="9" t="s">
        <v>50</v>
      </c>
      <c r="C3" s="9" t="s">
        <v>51</v>
      </c>
      <c r="D3" s="9" t="s">
        <v>52</v>
      </c>
      <c r="E3" s="9" t="s">
        <v>53</v>
      </c>
      <c r="F3" s="9" t="s">
        <v>54</v>
      </c>
      <c r="G3" s="9" t="s">
        <v>55</v>
      </c>
      <c r="H3" s="9" t="s">
        <v>56</v>
      </c>
      <c r="I3" s="9" t="s">
        <v>57</v>
      </c>
      <c r="J3" s="9" t="s">
        <v>58</v>
      </c>
      <c r="K3" s="9" t="s">
        <v>59</v>
      </c>
      <c r="L3" s="9" t="s">
        <v>60</v>
      </c>
      <c r="M3" s="9" t="s">
        <v>61</v>
      </c>
      <c r="N3" s="9" t="s">
        <v>62</v>
      </c>
      <c r="Q3" s="9" t="s">
        <v>50</v>
      </c>
      <c r="R3" s="9" t="s">
        <v>51</v>
      </c>
      <c r="S3" s="9" t="s">
        <v>52</v>
      </c>
      <c r="T3" s="9" t="s">
        <v>53</v>
      </c>
      <c r="U3" s="9" t="s">
        <v>54</v>
      </c>
      <c r="V3" s="9" t="s">
        <v>55</v>
      </c>
      <c r="W3" s="9" t="s">
        <v>56</v>
      </c>
      <c r="X3" s="9" t="s">
        <v>57</v>
      </c>
      <c r="Y3" s="9" t="s">
        <v>58</v>
      </c>
      <c r="Z3" s="9" t="s">
        <v>59</v>
      </c>
      <c r="AA3" s="9" t="s">
        <v>60</v>
      </c>
      <c r="AB3" s="9" t="s">
        <v>61</v>
      </c>
      <c r="AC3" s="9" t="s">
        <v>62</v>
      </c>
    </row>
    <row r="4" spans="1:30" x14ac:dyDescent="0.25">
      <c r="A4" s="9" t="s">
        <v>50</v>
      </c>
      <c r="B4" s="9" t="s">
        <v>42</v>
      </c>
      <c r="C4" s="9"/>
      <c r="D4" s="9"/>
      <c r="E4" s="9"/>
      <c r="F4" s="9" t="s">
        <v>75</v>
      </c>
      <c r="G4" s="9" t="s">
        <v>63</v>
      </c>
      <c r="H4" s="9" t="s">
        <v>41</v>
      </c>
      <c r="I4" s="9" t="s">
        <v>67</v>
      </c>
      <c r="J4" s="9" t="s">
        <v>47</v>
      </c>
      <c r="K4" s="9" t="s">
        <v>65</v>
      </c>
      <c r="L4" s="9" t="s">
        <v>63</v>
      </c>
      <c r="M4" s="9"/>
      <c r="N4" s="9"/>
      <c r="P4" s="9" t="s">
        <v>50</v>
      </c>
      <c r="Q4" s="9" t="s">
        <v>42</v>
      </c>
      <c r="T4" s="9" t="s">
        <v>66</v>
      </c>
    </row>
    <row r="5" spans="1:30" x14ac:dyDescent="0.25">
      <c r="A5" s="9" t="s">
        <v>51</v>
      </c>
      <c r="B5" s="9" t="s">
        <v>43</v>
      </c>
      <c r="C5" s="9"/>
      <c r="D5" s="9"/>
      <c r="E5" s="9"/>
      <c r="F5" s="9"/>
      <c r="G5" s="9"/>
      <c r="H5" s="9" t="s">
        <v>45</v>
      </c>
      <c r="I5" s="9"/>
      <c r="J5" s="9"/>
      <c r="K5" s="9"/>
      <c r="L5" s="9"/>
      <c r="M5" s="9"/>
      <c r="N5" s="9"/>
      <c r="P5" s="9" t="s">
        <v>51</v>
      </c>
      <c r="Q5" s="9" t="s">
        <v>43</v>
      </c>
      <c r="T5" s="9" t="s">
        <v>48</v>
      </c>
      <c r="X5" s="9" t="s">
        <v>76</v>
      </c>
      <c r="Y5" s="9" t="s">
        <v>63</v>
      </c>
      <c r="Z5" s="9" t="s">
        <v>47</v>
      </c>
    </row>
    <row r="6" spans="1:30" x14ac:dyDescent="0.25">
      <c r="A6" s="9" t="s">
        <v>52</v>
      </c>
      <c r="B6" s="9" t="s">
        <v>44</v>
      </c>
      <c r="C6" s="9"/>
      <c r="D6" s="9"/>
      <c r="E6" s="9" t="s">
        <v>64</v>
      </c>
      <c r="F6" s="9"/>
      <c r="G6" s="9"/>
      <c r="H6" s="9" t="s">
        <v>49</v>
      </c>
      <c r="I6" s="9"/>
      <c r="J6" s="9" t="s">
        <v>76</v>
      </c>
      <c r="K6" s="9" t="s">
        <v>47</v>
      </c>
      <c r="L6" s="9" t="s">
        <v>64</v>
      </c>
      <c r="M6" s="9"/>
      <c r="N6" s="9"/>
      <c r="P6" s="9" t="s">
        <v>52</v>
      </c>
      <c r="Q6" s="9" t="s">
        <v>44</v>
      </c>
      <c r="T6" s="9" t="s">
        <v>49</v>
      </c>
      <c r="V6" s="9" t="s">
        <v>75</v>
      </c>
      <c r="X6" s="9" t="s">
        <v>47</v>
      </c>
      <c r="AA6" s="9" t="s">
        <v>64</v>
      </c>
      <c r="AC6" s="9" t="s">
        <v>42</v>
      </c>
    </row>
    <row r="7" spans="1:30" x14ac:dyDescent="0.25">
      <c r="A7" s="9" t="s">
        <v>53</v>
      </c>
      <c r="B7" s="9" t="s">
        <v>45</v>
      </c>
      <c r="C7" s="9" t="s">
        <v>47</v>
      </c>
      <c r="D7" s="9" t="s">
        <v>44</v>
      </c>
      <c r="E7" s="9" t="s">
        <v>42</v>
      </c>
      <c r="F7" s="9" t="s">
        <v>49</v>
      </c>
      <c r="G7" s="9" t="s">
        <v>63</v>
      </c>
      <c r="H7" s="9" t="s">
        <v>46</v>
      </c>
      <c r="I7" s="9" t="s">
        <v>64</v>
      </c>
      <c r="J7" s="9" t="s">
        <v>63</v>
      </c>
      <c r="K7" s="9"/>
      <c r="L7" s="9"/>
      <c r="M7" s="9"/>
      <c r="N7" s="9"/>
      <c r="P7" s="9" t="s">
        <v>53</v>
      </c>
      <c r="Q7" s="9" t="s">
        <v>45</v>
      </c>
      <c r="R7" s="9" t="s">
        <v>47</v>
      </c>
      <c r="S7" s="9" t="s">
        <v>44</v>
      </c>
      <c r="T7" s="9" t="s">
        <v>42</v>
      </c>
      <c r="U7" s="9" t="s">
        <v>49</v>
      </c>
      <c r="V7" s="9" t="s">
        <v>63</v>
      </c>
      <c r="W7" s="9" t="s">
        <v>46</v>
      </c>
      <c r="X7" s="9" t="s">
        <v>64</v>
      </c>
      <c r="Y7" s="9" t="s">
        <v>63</v>
      </c>
      <c r="AA7" s="9" t="s">
        <v>42</v>
      </c>
      <c r="AB7" s="9" t="s">
        <v>75</v>
      </c>
      <c r="AC7" s="9" t="s">
        <v>48</v>
      </c>
    </row>
    <row r="8" spans="1:30" x14ac:dyDescent="0.25">
      <c r="A8" s="9" t="s">
        <v>54</v>
      </c>
      <c r="B8" s="9" t="s">
        <v>46</v>
      </c>
      <c r="C8" s="9"/>
      <c r="D8" s="9"/>
      <c r="E8" s="9" t="s">
        <v>47</v>
      </c>
      <c r="F8" s="9"/>
      <c r="G8" s="9"/>
      <c r="H8" s="9" t="s">
        <v>45</v>
      </c>
      <c r="I8" s="9"/>
      <c r="J8" s="9" t="s">
        <v>47</v>
      </c>
      <c r="K8" s="9"/>
      <c r="L8" s="9" t="s">
        <v>42</v>
      </c>
      <c r="M8" s="9" t="s">
        <v>48</v>
      </c>
      <c r="N8" s="9" t="s">
        <v>49</v>
      </c>
      <c r="P8" s="9" t="s">
        <v>54</v>
      </c>
      <c r="Q8" s="9" t="s">
        <v>46</v>
      </c>
      <c r="T8" s="9" t="s">
        <v>44</v>
      </c>
      <c r="V8" s="9" t="s">
        <v>41</v>
      </c>
      <c r="AA8" s="9" t="s">
        <v>47</v>
      </c>
      <c r="AC8" s="9" t="s">
        <v>49</v>
      </c>
    </row>
    <row r="9" spans="1:30" x14ac:dyDescent="0.25">
      <c r="A9" s="9" t="s">
        <v>55</v>
      </c>
      <c r="B9" s="9" t="s">
        <v>45</v>
      </c>
      <c r="C9" s="9"/>
      <c r="D9" s="9"/>
      <c r="E9" s="9" t="s">
        <v>65</v>
      </c>
      <c r="F9" s="9"/>
      <c r="G9" s="9"/>
      <c r="H9" s="9"/>
      <c r="I9" s="9"/>
      <c r="J9" s="9"/>
      <c r="K9" s="9"/>
      <c r="L9" s="9" t="s">
        <v>75</v>
      </c>
      <c r="M9" s="9"/>
      <c r="N9" s="9"/>
      <c r="P9" s="9" t="s">
        <v>55</v>
      </c>
      <c r="Q9" s="9" t="s">
        <v>45</v>
      </c>
      <c r="T9" s="9" t="s">
        <v>48</v>
      </c>
      <c r="V9" s="9" t="s">
        <v>67</v>
      </c>
      <c r="AA9" s="9" t="s">
        <v>65</v>
      </c>
    </row>
    <row r="10" spans="1:30" x14ac:dyDescent="0.25">
      <c r="A10" s="9" t="s">
        <v>56</v>
      </c>
      <c r="B10" s="9" t="s">
        <v>47</v>
      </c>
      <c r="C10" s="9"/>
      <c r="D10" s="9" t="s">
        <v>49</v>
      </c>
      <c r="E10" s="9" t="s">
        <v>63</v>
      </c>
      <c r="F10" s="9" t="s">
        <v>46</v>
      </c>
      <c r="G10" s="9" t="s">
        <v>49</v>
      </c>
      <c r="H10" s="9" t="s">
        <v>63</v>
      </c>
      <c r="I10" s="9" t="s">
        <v>41</v>
      </c>
      <c r="J10" s="9" t="s">
        <v>45</v>
      </c>
      <c r="K10" s="9" t="s">
        <v>44</v>
      </c>
      <c r="L10" s="9" t="s">
        <v>48</v>
      </c>
      <c r="M10" s="9"/>
      <c r="N10" s="9" t="s">
        <v>44</v>
      </c>
      <c r="P10" s="9" t="s">
        <v>56</v>
      </c>
      <c r="Q10" s="9" t="s">
        <v>47</v>
      </c>
      <c r="T10" s="9" t="s">
        <v>44</v>
      </c>
      <c r="V10" s="9" t="s">
        <v>47</v>
      </c>
      <c r="X10" s="9" t="s">
        <v>44</v>
      </c>
      <c r="Y10" s="9" t="s">
        <v>67</v>
      </c>
      <c r="Z10" s="9" t="s">
        <v>44</v>
      </c>
      <c r="AA10" s="9" t="s">
        <v>63</v>
      </c>
      <c r="AB10" s="9" t="s">
        <v>46</v>
      </c>
      <c r="AC10" s="9" t="s">
        <v>63</v>
      </c>
    </row>
    <row r="11" spans="1:30" x14ac:dyDescent="0.25">
      <c r="A11" s="9" t="s">
        <v>57</v>
      </c>
      <c r="B11" s="9" t="s">
        <v>47</v>
      </c>
      <c r="C11" s="9"/>
      <c r="D11" s="9"/>
      <c r="E11" s="9" t="s">
        <v>44</v>
      </c>
      <c r="F11" s="9"/>
      <c r="G11" s="9"/>
      <c r="H11" s="9"/>
      <c r="I11" s="9"/>
      <c r="J11" s="9"/>
      <c r="K11" s="9" t="s">
        <v>67</v>
      </c>
      <c r="L11" s="9"/>
      <c r="M11" s="9"/>
      <c r="N11" s="9" t="s">
        <v>67</v>
      </c>
      <c r="P11" s="9" t="s">
        <v>57</v>
      </c>
      <c r="Q11" s="9" t="s">
        <v>47</v>
      </c>
      <c r="R11" s="9" t="s">
        <v>45</v>
      </c>
      <c r="S11" s="9" t="s">
        <v>44</v>
      </c>
      <c r="V11" s="9" t="s">
        <v>65</v>
      </c>
      <c r="X11" s="9" t="s">
        <v>67</v>
      </c>
      <c r="AA11" s="9" t="s">
        <v>44</v>
      </c>
    </row>
    <row r="12" spans="1:30" x14ac:dyDescent="0.25">
      <c r="A12" s="9" t="s">
        <v>58</v>
      </c>
      <c r="B12" s="9" t="s">
        <v>45</v>
      </c>
      <c r="C12" s="9"/>
      <c r="D12" s="9" t="s">
        <v>47</v>
      </c>
      <c r="E12" s="9" t="s">
        <v>45</v>
      </c>
      <c r="F12" s="9" t="s">
        <v>44</v>
      </c>
      <c r="G12" s="9"/>
      <c r="H12" s="9"/>
      <c r="I12" s="9"/>
      <c r="J12" s="9"/>
      <c r="K12" s="9" t="s">
        <v>49</v>
      </c>
      <c r="L12" s="9"/>
      <c r="M12" s="9"/>
      <c r="N12" s="9" t="s">
        <v>44</v>
      </c>
      <c r="P12" s="9" t="s">
        <v>58</v>
      </c>
      <c r="Q12" s="9" t="s">
        <v>45</v>
      </c>
      <c r="U12" s="9" t="s">
        <v>49</v>
      </c>
      <c r="V12" s="9" t="s">
        <v>63</v>
      </c>
      <c r="W12" s="9" t="s">
        <v>46</v>
      </c>
      <c r="X12" s="9" t="s">
        <v>49</v>
      </c>
      <c r="Y12" s="9" t="s">
        <v>63</v>
      </c>
      <c r="Z12" s="9" t="s">
        <v>41</v>
      </c>
      <c r="AA12" s="9" t="s">
        <v>45</v>
      </c>
      <c r="AB12" s="9" t="s">
        <v>44</v>
      </c>
      <c r="AC12" s="9" t="s">
        <v>48</v>
      </c>
    </row>
    <row r="13" spans="1:30" x14ac:dyDescent="0.25">
      <c r="A13" s="9" t="s">
        <v>59</v>
      </c>
      <c r="B13" s="9"/>
      <c r="C13" s="9"/>
      <c r="D13" s="9"/>
      <c r="E13" s="9" t="s">
        <v>65</v>
      </c>
      <c r="F13" s="9"/>
      <c r="G13" s="9"/>
      <c r="H13" s="9" t="s">
        <v>66</v>
      </c>
      <c r="I13" s="9" t="s">
        <v>63</v>
      </c>
      <c r="J13" s="9" t="s">
        <v>46</v>
      </c>
      <c r="K13" s="9" t="s">
        <v>48</v>
      </c>
      <c r="L13" s="9" t="s">
        <v>46</v>
      </c>
      <c r="M13" s="9" t="s">
        <v>42</v>
      </c>
      <c r="N13" s="9" t="s">
        <v>63</v>
      </c>
      <c r="P13" s="9" t="s">
        <v>59</v>
      </c>
      <c r="X13" s="9" t="s">
        <v>48</v>
      </c>
      <c r="AA13" s="9" t="s">
        <v>65</v>
      </c>
    </row>
    <row r="14" spans="1:30" x14ac:dyDescent="0.25">
      <c r="A14" s="9" t="s">
        <v>60</v>
      </c>
      <c r="B14" s="9"/>
      <c r="C14" s="9"/>
      <c r="D14" s="9"/>
      <c r="E14" s="9" t="s">
        <v>48</v>
      </c>
      <c r="F14" s="9"/>
      <c r="G14" s="9"/>
      <c r="H14" s="9"/>
      <c r="I14" s="9"/>
      <c r="J14" s="9"/>
      <c r="K14" s="9" t="s">
        <v>44</v>
      </c>
      <c r="L14" s="9"/>
      <c r="M14" s="9"/>
      <c r="N14" s="9" t="s">
        <v>46</v>
      </c>
      <c r="P14" s="9" t="s">
        <v>60</v>
      </c>
      <c r="U14" s="9" t="s">
        <v>41</v>
      </c>
      <c r="V14" s="9" t="s">
        <v>45</v>
      </c>
      <c r="W14" s="9" t="s">
        <v>49</v>
      </c>
      <c r="X14" s="9" t="s">
        <v>46</v>
      </c>
      <c r="Y14" s="9" t="s">
        <v>45</v>
      </c>
      <c r="AA14" s="9" t="s">
        <v>48</v>
      </c>
    </row>
    <row r="15" spans="1:30" x14ac:dyDescent="0.25">
      <c r="A15" s="9" t="s">
        <v>61</v>
      </c>
      <c r="B15" s="9"/>
      <c r="C15" s="9"/>
      <c r="D15" s="9"/>
      <c r="E15" s="9"/>
      <c r="F15" s="9" t="s">
        <v>66</v>
      </c>
      <c r="G15" s="9" t="s">
        <v>48</v>
      </c>
      <c r="H15" s="9" t="s">
        <v>49</v>
      </c>
      <c r="I15" s="9" t="s">
        <v>42</v>
      </c>
      <c r="J15" s="9" t="s">
        <v>44</v>
      </c>
      <c r="K15" s="9" t="s">
        <v>48</v>
      </c>
      <c r="L15" s="9" t="s">
        <v>44</v>
      </c>
      <c r="M15" s="9"/>
      <c r="N15" s="9"/>
      <c r="P15" s="9" t="s">
        <v>61</v>
      </c>
      <c r="X15" s="9" t="s">
        <v>48</v>
      </c>
    </row>
    <row r="16" spans="1:30" x14ac:dyDescent="0.25">
      <c r="A16" s="9" t="s">
        <v>62</v>
      </c>
      <c r="B16" s="9"/>
      <c r="C16" s="9"/>
      <c r="D16" s="9"/>
      <c r="E16" s="9"/>
      <c r="F16" s="9"/>
      <c r="G16" s="9"/>
      <c r="H16" s="9"/>
      <c r="I16" s="9"/>
      <c r="J16" s="9"/>
      <c r="K16" s="9" t="s">
        <v>63</v>
      </c>
      <c r="L16" s="9"/>
      <c r="M16" s="9"/>
      <c r="N16" s="9"/>
      <c r="P16" s="9" t="s">
        <v>62</v>
      </c>
      <c r="W16" s="9" t="s">
        <v>66</v>
      </c>
      <c r="X16" s="9" t="s">
        <v>63</v>
      </c>
      <c r="Y16" s="9" t="s">
        <v>46</v>
      </c>
      <c r="Z16" s="9" t="s">
        <v>48</v>
      </c>
      <c r="AA16" s="9" t="s">
        <v>46</v>
      </c>
      <c r="AB16" s="9" t="s">
        <v>42</v>
      </c>
      <c r="AC16" s="9" t="s">
        <v>63</v>
      </c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/>
  <headerFooter>
    <oddHeader>&amp;C&amp;"Times New Roman,Regular"&amp;12&amp;A</oddHeader>
    <oddFooter>&amp;C&amp;"Times New Roman,Regular"&amp;12Página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4"/>
  <sheetViews>
    <sheetView showZeros="0" tabSelected="1" zoomScaleNormal="100" workbookViewId="0">
      <selection activeCell="H4" sqref="H4"/>
    </sheetView>
  </sheetViews>
  <sheetFormatPr defaultRowHeight="15" x14ac:dyDescent="0.25"/>
  <cols>
    <col min="1" max="14" width="3.28515625" customWidth="1"/>
    <col min="15" max="15" width="9.140625" customWidth="1"/>
    <col min="16" max="16" width="35" bestFit="1" customWidth="1"/>
    <col min="17" max="1025" width="9.140625" customWidth="1"/>
  </cols>
  <sheetData>
    <row r="1" spans="1:16" x14ac:dyDescent="0.25">
      <c r="A1" s="9"/>
      <c r="B1" s="9" t="s">
        <v>50</v>
      </c>
      <c r="C1" s="9" t="s">
        <v>51</v>
      </c>
      <c r="D1" s="9" t="s">
        <v>52</v>
      </c>
      <c r="E1" s="9" t="s">
        <v>53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/>
      <c r="P1" s="24"/>
    </row>
    <row r="2" spans="1:16" x14ac:dyDescent="0.25">
      <c r="A2" s="9" t="s">
        <v>50</v>
      </c>
      <c r="B2" s="9" t="s">
        <v>77</v>
      </c>
      <c r="C2" s="9"/>
      <c r="D2" s="9"/>
      <c r="E2" s="9"/>
      <c r="F2" s="9"/>
      <c r="G2" s="9"/>
      <c r="H2" s="9"/>
      <c r="J2" s="9"/>
      <c r="K2" s="9"/>
      <c r="L2" s="9"/>
      <c r="M2" s="9"/>
      <c r="N2" s="9"/>
      <c r="P2" s="24"/>
    </row>
    <row r="3" spans="1:16" x14ac:dyDescent="0.25">
      <c r="A3" s="9" t="s">
        <v>51</v>
      </c>
      <c r="B3" s="9" t="s">
        <v>63</v>
      </c>
      <c r="C3" s="9"/>
      <c r="D3" s="9"/>
      <c r="E3" s="9"/>
      <c r="F3" s="9"/>
      <c r="H3" s="9" t="s">
        <v>63</v>
      </c>
      <c r="I3" s="9"/>
      <c r="J3" s="9"/>
      <c r="K3" s="9"/>
      <c r="L3" s="9"/>
      <c r="M3" s="9"/>
      <c r="N3" s="9"/>
      <c r="P3" s="24"/>
    </row>
    <row r="4" spans="1:16" x14ac:dyDescent="0.25">
      <c r="A4" s="9" t="s">
        <v>52</v>
      </c>
      <c r="B4" s="9" t="s">
        <v>46</v>
      </c>
      <c r="C4" s="9" t="s">
        <v>45</v>
      </c>
      <c r="D4" s="9" t="s">
        <v>78</v>
      </c>
      <c r="E4" s="9" t="s">
        <v>45</v>
      </c>
      <c r="F4" s="9" t="s">
        <v>41</v>
      </c>
      <c r="G4" s="9" t="s">
        <v>48</v>
      </c>
      <c r="H4" s="9" t="s">
        <v>65</v>
      </c>
      <c r="I4" s="9" t="s">
        <v>48</v>
      </c>
      <c r="J4" s="9" t="s">
        <v>63</v>
      </c>
      <c r="K4" s="9"/>
      <c r="L4" s="9"/>
      <c r="M4" s="9"/>
      <c r="N4" s="9"/>
      <c r="P4" s="24"/>
    </row>
    <row r="5" spans="1:16" x14ac:dyDescent="0.25">
      <c r="A5" s="9" t="s">
        <v>53</v>
      </c>
      <c r="B5" s="9" t="s">
        <v>64</v>
      </c>
      <c r="C5" s="9"/>
      <c r="D5" s="9"/>
      <c r="E5" s="9"/>
      <c r="F5" s="9"/>
      <c r="H5" s="9" t="s">
        <v>42</v>
      </c>
      <c r="I5" s="9"/>
      <c r="J5" s="9"/>
      <c r="K5" s="9"/>
      <c r="L5" s="9"/>
      <c r="M5" s="9"/>
      <c r="N5" s="9"/>
      <c r="P5" s="24"/>
    </row>
    <row r="6" spans="1:16" x14ac:dyDescent="0.25">
      <c r="A6" s="9" t="s">
        <v>54</v>
      </c>
      <c r="B6" s="9" t="s">
        <v>67</v>
      </c>
      <c r="C6" s="9"/>
      <c r="D6" s="9"/>
      <c r="E6" s="9"/>
      <c r="F6" s="9"/>
      <c r="H6" s="9" t="s">
        <v>64</v>
      </c>
      <c r="I6" s="9"/>
      <c r="J6" s="9"/>
      <c r="K6" s="9"/>
      <c r="L6" s="9"/>
      <c r="M6" s="9"/>
      <c r="N6" s="9"/>
      <c r="P6" s="24"/>
    </row>
    <row r="7" spans="1:16" x14ac:dyDescent="0.25">
      <c r="A7" s="9" t="s">
        <v>55</v>
      </c>
      <c r="B7" s="9" t="s">
        <v>46</v>
      </c>
      <c r="C7" s="9"/>
      <c r="D7" s="9"/>
      <c r="E7" s="9"/>
      <c r="F7" s="9"/>
      <c r="H7" s="9" t="s">
        <v>45</v>
      </c>
      <c r="I7" s="9"/>
      <c r="J7" s="9"/>
      <c r="K7" s="9"/>
      <c r="L7" s="9"/>
      <c r="M7" s="9"/>
      <c r="N7" s="9"/>
      <c r="P7" s="24"/>
    </row>
    <row r="8" spans="1:16" x14ac:dyDescent="0.25">
      <c r="A8" s="9" t="s">
        <v>56</v>
      </c>
      <c r="B8" s="9" t="s">
        <v>63</v>
      </c>
      <c r="C8" s="9"/>
      <c r="D8" s="9"/>
      <c r="E8" s="9"/>
      <c r="F8" s="9"/>
      <c r="H8" s="9" t="s">
        <v>43</v>
      </c>
      <c r="I8" s="9"/>
      <c r="J8" s="9"/>
      <c r="K8" s="9"/>
      <c r="L8" s="9"/>
      <c r="M8" s="9"/>
      <c r="N8" s="9"/>
      <c r="P8" s="24"/>
    </row>
    <row r="9" spans="1:16" x14ac:dyDescent="0.25">
      <c r="A9" s="9" t="s">
        <v>57</v>
      </c>
      <c r="B9" s="9" t="s">
        <v>47</v>
      </c>
      <c r="C9" s="9"/>
      <c r="D9" s="9"/>
      <c r="E9" s="9"/>
      <c r="F9" s="9"/>
      <c r="H9" s="9" t="s">
        <v>44</v>
      </c>
      <c r="I9" s="9"/>
      <c r="J9" s="9"/>
      <c r="K9" s="9"/>
      <c r="L9" s="9"/>
      <c r="M9" s="9"/>
      <c r="N9" s="9"/>
      <c r="P9" s="24"/>
    </row>
    <row r="10" spans="1:16" x14ac:dyDescent="0.25">
      <c r="A10" s="9" t="s">
        <v>58</v>
      </c>
      <c r="B10" s="9" t="s">
        <v>63</v>
      </c>
      <c r="C10" s="9"/>
      <c r="D10" s="9"/>
      <c r="E10" s="9"/>
      <c r="F10" s="9"/>
      <c r="H10" s="9" t="s">
        <v>48</v>
      </c>
      <c r="I10" s="9"/>
      <c r="J10" s="9"/>
      <c r="K10" s="9"/>
      <c r="L10" s="9"/>
      <c r="M10" s="9"/>
      <c r="N10" s="9"/>
      <c r="P10" s="24"/>
    </row>
    <row r="11" spans="1:16" x14ac:dyDescent="0.25">
      <c r="A11" s="9" t="s">
        <v>59</v>
      </c>
      <c r="B11" s="9"/>
      <c r="C11" s="9"/>
      <c r="D11" s="9"/>
      <c r="E11" s="9"/>
      <c r="F11" s="9"/>
      <c r="H11" s="9" t="s">
        <v>41</v>
      </c>
      <c r="I11" s="9"/>
      <c r="J11" s="9"/>
      <c r="K11" s="9"/>
      <c r="L11" s="9"/>
      <c r="M11" s="9"/>
      <c r="N11" s="9"/>
      <c r="P11" s="24"/>
    </row>
    <row r="12" spans="1:16" x14ac:dyDescent="0.25">
      <c r="A12" s="9" t="s">
        <v>60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P12" s="24"/>
    </row>
    <row r="13" spans="1:16" ht="15.75" x14ac:dyDescent="0.3">
      <c r="A13" s="9" t="s">
        <v>61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P13" s="25"/>
    </row>
    <row r="14" spans="1:16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</row>
  </sheetData>
  <pageMargins left="0.78749999999999998" right="0.78749999999999998" top="1.05277777777778" bottom="1.05277777777778" header="0.78749999999999998" footer="0.78749999999999998"/>
  <pageSetup paperSize="9" firstPageNumber="0" orientation="portrait" horizontalDpi="300" verticalDpi="300" r:id="rId1"/>
  <headerFooter>
    <oddHeader>&amp;C&amp;"Times New Roman,Regular"&amp;12&amp;A</oddHeader>
    <oddFooter>&amp;C&amp;"Times New Roman,Regular"&amp;12Página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Plan1</vt:lpstr>
      <vt:lpstr>Planilha2</vt:lpstr>
      <vt:lpstr>Planilha3</vt:lpstr>
      <vt:lpstr>Planilha4</vt:lpstr>
      <vt:lpstr>Planilha5</vt:lpstr>
      <vt:lpstr>Planilha6</vt:lpstr>
      <vt:lpstr>Planilha7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Alexandre Ribeiro Canellas</dc:creator>
  <dc:description/>
  <cp:lastModifiedBy>Rodrigo Alexandre Ribeiro Canellas</cp:lastModifiedBy>
  <cp:revision>12</cp:revision>
  <dcterms:created xsi:type="dcterms:W3CDTF">2019-10-03T20:01:41Z</dcterms:created>
  <dcterms:modified xsi:type="dcterms:W3CDTF">2019-10-16T18:49:51Z</dcterms:modified>
  <dc:language>pt-BR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